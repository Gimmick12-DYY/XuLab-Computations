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yy/Library/CloudStorage/Dropbox-Dyyjason1212/Yuyang Deng/293T-paper/"/>
    </mc:Choice>
  </mc:AlternateContent>
  <xr:revisionPtr revIDLastSave="0" documentId="13_ncr:1_{513CE5B5-1515-4E45-A73D-92FF0EEB2B3E}" xr6:coauthVersionLast="47" xr6:coauthVersionMax="47" xr10:uidLastSave="{00000000-0000-0000-0000-000000000000}"/>
  <bookViews>
    <workbookView xWindow="20" yWindow="780" windowWidth="29400" windowHeight="18360" activeTab="2" xr2:uid="{F077B753-A81A-2143-9169-0218214250EB}"/>
  </bookViews>
  <sheets>
    <sheet name="TF1000cells_motifs" sheetId="1" r:id="rId1"/>
    <sheet name="TF1000cells_unknown_motifs" sheetId="9" r:id="rId2"/>
    <sheet name="TF1000cells_known_motifs" sheetId="3" r:id="rId3"/>
    <sheet name="TF1000cells_known_motifs (Full)" sheetId="8" r:id="rId4"/>
    <sheet name="known_motifs" sheetId="4" r:id="rId5"/>
    <sheet name="HOCOMOCOv11_full_annotation_HUM" sheetId="6" r:id="rId6"/>
    <sheet name="HOCOMOCOv11_core_annotation_HUM" sheetId="7" r:id="rId7"/>
  </sheets>
  <definedNames>
    <definedName name="_xlnm._FilterDatabase" localSheetId="2" hidden="1">TF1000cells_known_motifs!$A$2:$O$27</definedName>
    <definedName name="_xlnm._FilterDatabase" localSheetId="3" hidden="1">'TF1000cells_known_motifs (Full)'!$A$2:$O$37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5" i="4" l="1"/>
  <c r="E45" i="4"/>
  <c r="D11" i="4"/>
  <c r="E11" i="4"/>
  <c r="D21" i="4"/>
  <c r="E21" i="4"/>
  <c r="D46" i="4"/>
  <c r="E46" i="4"/>
  <c r="D22" i="4"/>
  <c r="E22" i="4"/>
  <c r="D47" i="4"/>
  <c r="E47" i="4"/>
  <c r="D29" i="4"/>
  <c r="E29" i="4"/>
  <c r="D48" i="4"/>
  <c r="E48" i="4"/>
  <c r="D49" i="4"/>
  <c r="E49" i="4"/>
  <c r="D50" i="4"/>
  <c r="E50" i="4"/>
  <c r="D12" i="4"/>
  <c r="E12" i="4"/>
  <c r="D30" i="4"/>
  <c r="E30" i="4"/>
  <c r="D51" i="4"/>
  <c r="E51" i="4"/>
  <c r="D52" i="4"/>
  <c r="E52" i="4"/>
  <c r="D31" i="4"/>
  <c r="E31" i="4"/>
  <c r="D53" i="4"/>
  <c r="E53" i="4"/>
  <c r="D54" i="4"/>
  <c r="E54" i="4"/>
  <c r="D23" i="4"/>
  <c r="E23" i="4"/>
  <c r="D55" i="4"/>
  <c r="E55" i="4"/>
  <c r="D56" i="4"/>
  <c r="E56" i="4"/>
  <c r="D57" i="4"/>
  <c r="E57" i="4"/>
  <c r="D24" i="4"/>
  <c r="E24" i="4"/>
  <c r="D58" i="4"/>
  <c r="E58" i="4"/>
  <c r="D32" i="4"/>
  <c r="E32" i="4"/>
  <c r="D59" i="4"/>
  <c r="E59" i="4"/>
  <c r="D60" i="4"/>
  <c r="E60" i="4"/>
  <c r="D61" i="4"/>
  <c r="E61" i="4"/>
  <c r="D62" i="4"/>
  <c r="E62" i="4"/>
  <c r="D63" i="4"/>
  <c r="E63" i="4"/>
  <c r="D13" i="4"/>
  <c r="E13" i="4"/>
  <c r="D64" i="4"/>
  <c r="E64" i="4"/>
  <c r="D25" i="4"/>
  <c r="E25" i="4"/>
  <c r="D65" i="4"/>
  <c r="E65" i="4"/>
  <c r="D66" i="4"/>
  <c r="E66" i="4"/>
  <c r="D33" i="4"/>
  <c r="E33" i="4"/>
  <c r="D14" i="4"/>
  <c r="E14" i="4"/>
  <c r="D67" i="4"/>
  <c r="E67" i="4"/>
  <c r="D68" i="4"/>
  <c r="E68" i="4"/>
  <c r="D69" i="4"/>
  <c r="E69" i="4"/>
  <c r="D70" i="4"/>
  <c r="E70" i="4"/>
  <c r="D71" i="4"/>
  <c r="E71" i="4"/>
  <c r="D34" i="4"/>
  <c r="E34" i="4"/>
  <c r="D72" i="4"/>
  <c r="E72" i="4"/>
  <c r="D73" i="4"/>
  <c r="E73" i="4"/>
  <c r="D74" i="4"/>
  <c r="E74" i="4"/>
  <c r="D75" i="4"/>
  <c r="E75" i="4"/>
  <c r="D76" i="4"/>
  <c r="E76" i="4"/>
  <c r="D35" i="4"/>
  <c r="E35" i="4"/>
  <c r="D18" i="4"/>
  <c r="E18" i="4"/>
  <c r="D77" i="4"/>
  <c r="E77" i="4"/>
  <c r="D78" i="4"/>
  <c r="E78" i="4"/>
  <c r="D79" i="4"/>
  <c r="E79" i="4"/>
  <c r="D80" i="4"/>
  <c r="E80" i="4"/>
  <c r="E44" i="4"/>
  <c r="D44" i="4"/>
  <c r="E28" i="4"/>
  <c r="D28" i="4"/>
  <c r="E43" i="4"/>
  <c r="D43" i="4"/>
  <c r="E42" i="4"/>
  <c r="D42" i="4"/>
  <c r="E27" i="4"/>
  <c r="D27" i="4"/>
  <c r="E26" i="4"/>
  <c r="D26" i="4"/>
  <c r="E41" i="4"/>
  <c r="D41" i="4"/>
  <c r="E40" i="4"/>
  <c r="D40" i="4"/>
  <c r="E39" i="4"/>
  <c r="D39" i="4"/>
  <c r="E38" i="4"/>
  <c r="D38" i="4"/>
  <c r="E37" i="4"/>
  <c r="D37" i="4"/>
  <c r="E36" i="4"/>
  <c r="D36" i="4"/>
  <c r="E20" i="4"/>
  <c r="D20" i="4"/>
  <c r="E17" i="4"/>
  <c r="D17" i="4"/>
  <c r="E10" i="4"/>
  <c r="D10" i="4"/>
  <c r="E9" i="4"/>
  <c r="D9" i="4"/>
  <c r="E8" i="4"/>
  <c r="D8" i="4"/>
  <c r="E7" i="4"/>
  <c r="D7" i="4"/>
  <c r="E6" i="4"/>
  <c r="D6" i="4"/>
  <c r="E5" i="4"/>
  <c r="D5" i="4"/>
  <c r="E4" i="4"/>
  <c r="D4" i="4"/>
  <c r="E19" i="4"/>
  <c r="D19" i="4"/>
  <c r="E16" i="4"/>
  <c r="D16" i="4"/>
  <c r="E15" i="4"/>
  <c r="D15" i="4"/>
  <c r="E3" i="4"/>
  <c r="D3" i="4"/>
  <c r="E2" i="4"/>
  <c r="D2" i="4"/>
</calcChain>
</file>

<file path=xl/sharedStrings.xml><?xml version="1.0" encoding="utf-8"?>
<sst xmlns="http://schemas.openxmlformats.org/spreadsheetml/2006/main" count="12974" uniqueCount="4082">
  <si>
    <t>TF</t>
  </si>
  <si>
    <t>n</t>
  </si>
  <si>
    <t>AME motif for peaks</t>
  </si>
  <si>
    <t>Homer motif for peaks</t>
  </si>
  <si>
    <t>AME motif for bins</t>
  </si>
  <si>
    <t>Homer motif for bins</t>
  </si>
  <si>
    <t>Homer database</t>
  </si>
  <si>
    <t>HOCOMOCOv11 database</t>
  </si>
  <si>
    <t>RBBP4</t>
  </si>
  <si>
    <t>NA</t>
  </si>
  <si>
    <t>NFYA</t>
  </si>
  <si>
    <t>SOX4</t>
  </si>
  <si>
    <t>Sox4</t>
  </si>
  <si>
    <t>XPA</t>
  </si>
  <si>
    <t>RBBP7</t>
  </si>
  <si>
    <t>ZNF507</t>
  </si>
  <si>
    <t>E2F3</t>
  </si>
  <si>
    <t>NME2</t>
  </si>
  <si>
    <t>MBD3</t>
  </si>
  <si>
    <t>MLX</t>
  </si>
  <si>
    <t>DDIT3</t>
  </si>
  <si>
    <t>ZNF703</t>
  </si>
  <si>
    <t>GLYR1</t>
  </si>
  <si>
    <t>E4F1</t>
  </si>
  <si>
    <t>CTCF</t>
  </si>
  <si>
    <t>SAFB</t>
  </si>
  <si>
    <t>MTF2</t>
  </si>
  <si>
    <t>ZBTB7A</t>
  </si>
  <si>
    <t>HOXA10</t>
  </si>
  <si>
    <t>HOXB9</t>
  </si>
  <si>
    <t>ZNF768</t>
  </si>
  <si>
    <t>FLYWCH1</t>
  </si>
  <si>
    <t>HOXB6</t>
  </si>
  <si>
    <t>DR1</t>
  </si>
  <si>
    <t>PA2G4</t>
  </si>
  <si>
    <t>ZNF512B</t>
  </si>
  <si>
    <t>RBPJ</t>
  </si>
  <si>
    <t>ZIC2</t>
  </si>
  <si>
    <t>Zic2</t>
  </si>
  <si>
    <t>FOXC1</t>
  </si>
  <si>
    <t>ZNF644</t>
  </si>
  <si>
    <t>ZNF367</t>
  </si>
  <si>
    <t>TBX3</t>
  </si>
  <si>
    <t>HES1</t>
  </si>
  <si>
    <t>EZH2</t>
  </si>
  <si>
    <t>MAZ</t>
  </si>
  <si>
    <t>Maz</t>
  </si>
  <si>
    <t>SRCAP</t>
  </si>
  <si>
    <t>SMARCA1</t>
  </si>
  <si>
    <t>STAG2</t>
  </si>
  <si>
    <t>WIZ</t>
  </si>
  <si>
    <t>ZNF777</t>
  </si>
  <si>
    <t>HOXC9</t>
  </si>
  <si>
    <t>Hoxc9</t>
  </si>
  <si>
    <t>ZNF746</t>
  </si>
  <si>
    <t>ZNF282</t>
  </si>
  <si>
    <t>CHAMP1</t>
  </si>
  <si>
    <t>POGK</t>
  </si>
  <si>
    <t>THAP6</t>
  </si>
  <si>
    <t>ZUFSP</t>
  </si>
  <si>
    <t>DNMT1</t>
  </si>
  <si>
    <t>FOXJ3</t>
  </si>
  <si>
    <t>RELA</t>
  </si>
  <si>
    <t>ZNF512</t>
  </si>
  <si>
    <t>HOXB8</t>
  </si>
  <si>
    <t>ZBTB43</t>
  </si>
  <si>
    <t>ADNP</t>
  </si>
  <si>
    <t>MEF2D</t>
  </si>
  <si>
    <t>Mef2d</t>
  </si>
  <si>
    <t>HOXA5</t>
  </si>
  <si>
    <t>ZNF143</t>
  </si>
  <si>
    <t>ETS2</t>
  </si>
  <si>
    <t>TRAFD1</t>
  </si>
  <si>
    <t>ZBTB40</t>
  </si>
  <si>
    <t>SOX12</t>
  </si>
  <si>
    <t>AKAP8L</t>
  </si>
  <si>
    <t>NRF1</t>
  </si>
  <si>
    <t>ZNF581</t>
  </si>
  <si>
    <t>MSX2</t>
  </si>
  <si>
    <t>NEUROD4</t>
  </si>
  <si>
    <t>NR1D2</t>
  </si>
  <si>
    <t>HP1</t>
  </si>
  <si>
    <t>ZNF606</t>
  </si>
  <si>
    <t>ZNF79</t>
  </si>
  <si>
    <t>HOXD10</t>
  </si>
  <si>
    <t>SREBF2</t>
  </si>
  <si>
    <t>FOXK1</t>
  </si>
  <si>
    <t>PCGF6</t>
  </si>
  <si>
    <t>ZNF503</t>
  </si>
  <si>
    <t>EPAS1</t>
  </si>
  <si>
    <t>SETDB1</t>
  </si>
  <si>
    <t>MEF2A</t>
  </si>
  <si>
    <t>HOXC4</t>
  </si>
  <si>
    <t>Imputed Data: AME motif for peaks</t>
  </si>
  <si>
    <t>Imputed Data: Homer motif for peaks</t>
  </si>
  <si>
    <t>F</t>
  </si>
  <si>
    <t>Cell Count</t>
  </si>
  <si>
    <t>Raw</t>
  </si>
  <si>
    <t>Imputed Data: Whole Genome Background</t>
  </si>
  <si>
    <t>Imputed Data: Open Chromatin Region Backrgound</t>
  </si>
  <si>
    <t>AME-MEME (HOCOMOCO v11 full)</t>
  </si>
  <si>
    <t>AME-MEME (HOCOMOCO v11 core)</t>
  </si>
  <si>
    <t>HOMER</t>
  </si>
  <si>
    <t>Count of Cells</t>
  </si>
  <si>
    <t>Q8NAM6</t>
  </si>
  <si>
    <t>ZSCA4_HUMAN</t>
  </si>
  <si>
    <t>ZSCAN5-like zinc finger factors{2.3.3.5}</t>
  </si>
  <si>
    <t>More than 3 adjacent zinc finger factors{2.3.3}</t>
  </si>
  <si>
    <t>HT-SELEX</t>
  </si>
  <si>
    <t>HOCOMOCOv10</t>
  </si>
  <si>
    <t>AGKGTGTGCAhh</t>
  </si>
  <si>
    <t>D</t>
  </si>
  <si>
    <t>ZSCAN4</t>
  </si>
  <si>
    <t>ZSCA4_HUMAN.H11MO.0.D</t>
  </si>
  <si>
    <t>Q96LW9</t>
  </si>
  <si>
    <t>ZSC31_HUMAN</t>
  </si>
  <si>
    <t>ZNF24-like factors{2.3.3.10}</t>
  </si>
  <si>
    <t>ChIP-Seq</t>
  </si>
  <si>
    <t>HOCOMOCOv11</t>
  </si>
  <si>
    <t>dKSMGCRGGGCMdKdRdv</t>
  </si>
  <si>
    <t>C</t>
  </si>
  <si>
    <t>ZSCAN31</t>
  </si>
  <si>
    <t>ZSC31_HUMAN.H11MO.0.C</t>
  </si>
  <si>
    <t>P10073</t>
  </si>
  <si>
    <t>ZSC22_HUMAN</t>
  </si>
  <si>
    <t>unclassified{2.3.3.0}</t>
  </si>
  <si>
    <t>dRbShGAdGGMGGMGG</t>
  </si>
  <si>
    <t>ZSCAN22</t>
  </si>
  <si>
    <t>ZSC22_HUMAN.H11MO.0.C</t>
  </si>
  <si>
    <t>Q9H4T2</t>
  </si>
  <si>
    <t>ZSC16_HUMAN</t>
  </si>
  <si>
    <t>nvbGTGYTCWGTTAACAhhn</t>
  </si>
  <si>
    <t>ZSCAN16</t>
  </si>
  <si>
    <t>ZSC16_HUMAN.H11MO.0.D</t>
  </si>
  <si>
    <t>P17098</t>
  </si>
  <si>
    <t>ZNF8_HUMAN</t>
  </si>
  <si>
    <t>unclassified{2.3.4.0}</t>
  </si>
  <si>
    <t>Factors with multiple dispersed zinc fingers{2.3.4}</t>
  </si>
  <si>
    <t>TGTGGTAYATCCATWYARTGGA</t>
  </si>
  <si>
    <t>ZNF8</t>
  </si>
  <si>
    <t>ZNF8_HUMAN.H11MO.0.C</t>
  </si>
  <si>
    <t>Q03923</t>
  </si>
  <si>
    <t>ZNF85_HUMAN</t>
  </si>
  <si>
    <t>KGMWGbAATCYhh</t>
  </si>
  <si>
    <t>ZNF85</t>
  </si>
  <si>
    <t>ZNF85_HUMAN.H11MO.1.C</t>
  </si>
  <si>
    <t>RdWRRMRWvKGMWGbAATCW</t>
  </si>
  <si>
    <t>ZNF85_HUMAN.H11MO.0.C</t>
  </si>
  <si>
    <t>P36508</t>
  </si>
  <si>
    <t>ZNF76_HUMAN</t>
  </si>
  <si>
    <t>ZNF76-like factors{2.3.3.28}</t>
  </si>
  <si>
    <t>vddGSMYbSTGGGAvdKSKRRK</t>
  </si>
  <si>
    <t>ZNF76</t>
  </si>
  <si>
    <t>ZNF76_HUMAN.H11MO.0.C</t>
  </si>
  <si>
    <t>P51814</t>
  </si>
  <si>
    <t>ZNF41_HUMAN</t>
  </si>
  <si>
    <t>ZFN81-like factors{2.3.3.68}</t>
  </si>
  <si>
    <t>MAYARGGRARhv</t>
  </si>
  <si>
    <t>ZNF41</t>
  </si>
  <si>
    <t>ZNF41_HUMAN.H11MO.1.C</t>
  </si>
  <si>
    <t>vRMRRGRRARhvvRvSACMAWSWR</t>
  </si>
  <si>
    <t>ZNF41_HUMAN.H11MO.0.C</t>
  </si>
  <si>
    <t>P17022</t>
  </si>
  <si>
    <t>ZNF18_HUMAN</t>
  </si>
  <si>
    <t>RGTGTGARYhbd</t>
  </si>
  <si>
    <t>ZNF18</t>
  </si>
  <si>
    <t>ZNF18_HUMAN.H11MO.0.C</t>
  </si>
  <si>
    <t>Q0VGE8</t>
  </si>
  <si>
    <t>ZN816_HUMAN</t>
  </si>
  <si>
    <t>ZNF816A-like factors{2.3.3.73}</t>
  </si>
  <si>
    <t>vddRGGGAMWdRhd</t>
  </si>
  <si>
    <t>ZNF816</t>
  </si>
  <si>
    <t>ZN816_HUMAN.H11MO.1.C</t>
  </si>
  <si>
    <t>vRvdvRdGGGGACMKGhhdRR</t>
  </si>
  <si>
    <t>ZN816_HUMAN.H11MO.0.C</t>
  </si>
  <si>
    <t>Q8NCA9</t>
  </si>
  <si>
    <t>ZN784_HUMAN</t>
  </si>
  <si>
    <t>dvGGTAGGTvn</t>
  </si>
  <si>
    <t>ZNF784</t>
  </si>
  <si>
    <t>ZN784_HUMAN.H11MO.0.D</t>
  </si>
  <si>
    <t>Q6IQ21</t>
  </si>
  <si>
    <t>ZN770_HUMAN</t>
  </si>
  <si>
    <t>dGGAGGCYGvR</t>
  </si>
  <si>
    <t>ZNF770</t>
  </si>
  <si>
    <t>ZN770_HUMAN.H11MO.1.C</t>
  </si>
  <si>
    <t>dGGAGGCYRRRRbdRRRGRvbb</t>
  </si>
  <si>
    <t>ZN770_HUMAN.H11MO.0.C</t>
  </si>
  <si>
    <t>Q9H5H4</t>
  </si>
  <si>
    <t>ZN768_HUMAN</t>
  </si>
  <si>
    <t>vRRGMWCAGAGAGGKbRRGb</t>
  </si>
  <si>
    <t>ZN768_HUMAN.H11MO.0.C</t>
  </si>
  <si>
    <t>Q8NDX6</t>
  </si>
  <si>
    <t>ZN740_HUMAN</t>
  </si>
  <si>
    <t>Other three adjacent zinc finger factors{2.3.2.4}</t>
  </si>
  <si>
    <t>Other factors with up to three adjacent zinc fingers{2.3.2}</t>
  </si>
  <si>
    <t>ddKGGGGGGGhddd</t>
  </si>
  <si>
    <t>ZNF740</t>
  </si>
  <si>
    <t>ZN740_HUMAN.H11MO.0.D</t>
  </si>
  <si>
    <t>Q8N859</t>
  </si>
  <si>
    <t>ZN713_HUMAN</t>
  </si>
  <si>
    <t>ddRRMMRAAnGvSAnKMWd</t>
  </si>
  <si>
    <t>ZNF713</t>
  </si>
  <si>
    <t>ZN713_HUMAN.H11MO.0.D</t>
  </si>
  <si>
    <t>P17019</t>
  </si>
  <si>
    <t>ZN708_HUMAN</t>
  </si>
  <si>
    <t>AGGYACAGM</t>
  </si>
  <si>
    <t>ZNF708</t>
  </si>
  <si>
    <t>ZN708_HUMAN.H11MO.1.D</t>
  </si>
  <si>
    <t>vvvhhddMRRnAGGYACAGC</t>
  </si>
  <si>
    <t>ZN708_HUMAN.H11MO.0.C</t>
  </si>
  <si>
    <t>Q8NEM1</t>
  </si>
  <si>
    <t>ZN680_HUMAN</t>
  </si>
  <si>
    <t>YRYRhCCARGAAGAATRAGG</t>
  </si>
  <si>
    <t>ZNF680</t>
  </si>
  <si>
    <t>ZN680_HUMAN.H11MO.0.C</t>
  </si>
  <si>
    <t>Q5HYK9</t>
  </si>
  <si>
    <t>ZN667_HUMAN</t>
  </si>
  <si>
    <t>vdKbChKbMRRWKYYShbh</t>
  </si>
  <si>
    <t>ZNF667</t>
  </si>
  <si>
    <t>ZN667_HUMAN.H11MO.0.C</t>
  </si>
  <si>
    <t>Q9Y2D9</t>
  </si>
  <si>
    <t>ZN652_HUMAN</t>
  </si>
  <si>
    <t>ZNF652-like factors{2.3.3.29}</t>
  </si>
  <si>
    <t>nRdKGGTTAAh</t>
  </si>
  <si>
    <t>ZNF652</t>
  </si>
  <si>
    <t>ZN652_HUMAN.H11MO.0.D</t>
  </si>
  <si>
    <t>Q86UQ0</t>
  </si>
  <si>
    <t>ZN589_HUMAN</t>
  </si>
  <si>
    <t>Integrative</t>
  </si>
  <si>
    <t>HOCOMOCOv9</t>
  </si>
  <si>
    <t>nMMRSKGKTWYWRYSb</t>
  </si>
  <si>
    <t>ZNF589</t>
  </si>
  <si>
    <t>ZN589_HUMAN.H11MO.0.D</t>
  </si>
  <si>
    <t>Q9NXT0</t>
  </si>
  <si>
    <t>ZN586_HUMAN</t>
  </si>
  <si>
    <t>AGGCCTAGGAGGAAAAAATG</t>
  </si>
  <si>
    <t>ZNF586</t>
  </si>
  <si>
    <t>ZN586_HUMAN.H11MO.0.C</t>
  </si>
  <si>
    <t>Q96NG8</t>
  </si>
  <si>
    <t>ZN582_HUMAN</t>
  </si>
  <si>
    <t>ZNF620-like factors{2.3.3.35}</t>
  </si>
  <si>
    <t>vKMWTGSWnTbGRMTGSAAdYAWM</t>
  </si>
  <si>
    <t>ZNF582</t>
  </si>
  <si>
    <t>ZN582_HUMAN.H11MO.0.C</t>
  </si>
  <si>
    <t>Q8TA94</t>
  </si>
  <si>
    <t>ZN563_HUMAN</t>
  </si>
  <si>
    <t>ZNF763-like factors{2.3.3.33}</t>
  </si>
  <si>
    <t>ShRKCAGCdShR</t>
  </si>
  <si>
    <t>ZNF563</t>
  </si>
  <si>
    <t>ZN563_HUMAN.H11MO.1.C</t>
  </si>
  <si>
    <t>dKdnKCMbndShRKCMvChSh</t>
  </si>
  <si>
    <t>ZN563_HUMAN.H11MO.0.C</t>
  </si>
  <si>
    <t>Q86TJ5</t>
  </si>
  <si>
    <t>ZN554_HUMAN</t>
  </si>
  <si>
    <t>RCWGAGYCM</t>
  </si>
  <si>
    <t>ZNF554</t>
  </si>
  <si>
    <t>ZN554_HUMAN.H11MO.1.D</t>
  </si>
  <si>
    <t>RCdGRGYCRnbbRRdddvYh</t>
  </si>
  <si>
    <t>ZN554_HUMAN.H11MO.0.C</t>
  </si>
  <si>
    <t>Q6P9A3</t>
  </si>
  <si>
    <t>ZN549_HUMAN</t>
  </si>
  <si>
    <t>WdYYAKSRRYhGGRCAGCMb</t>
  </si>
  <si>
    <t>ZNF549</t>
  </si>
  <si>
    <t>ZN549_HUMAN.H11MO.0.C</t>
  </si>
  <si>
    <t>Q8IVP9</t>
  </si>
  <si>
    <t>ZN547_HUMAN</t>
  </si>
  <si>
    <t>WSCWMAYKChRCWRRCRbdS</t>
  </si>
  <si>
    <t>ZNF547</t>
  </si>
  <si>
    <t>ZN547_HUMAN.H11MO.0.C</t>
  </si>
  <si>
    <t>Q3MIS6</t>
  </si>
  <si>
    <t>ZN528_HUMAN</t>
  </si>
  <si>
    <t>nnvRRGGAAGYCATTYCTbd</t>
  </si>
  <si>
    <t>ZNF528</t>
  </si>
  <si>
    <t>ZN528_HUMAN.H11MO.0.C</t>
  </si>
  <si>
    <t>Q96C55</t>
  </si>
  <si>
    <t>ZN524_HUMAN</t>
  </si>
  <si>
    <t>ZNF524-like factors{2.3.3.15}</t>
  </si>
  <si>
    <t>bSKdnbdMGGGTKCGARb</t>
  </si>
  <si>
    <t>ZNF524</t>
  </si>
  <si>
    <t>ZN524_HUMAN.H11MO.0.D</t>
  </si>
  <si>
    <t>Q8TBZ5</t>
  </si>
  <si>
    <t>ZN502_HUMAN</t>
  </si>
  <si>
    <t>GAATGGAATSGAATGGAATS</t>
  </si>
  <si>
    <t>ZNF502</t>
  </si>
  <si>
    <t>ZN502_HUMAN.H11MO.0.C</t>
  </si>
  <si>
    <t>Q9ULM2</t>
  </si>
  <si>
    <t>ZN490_HUMAN</t>
  </si>
  <si>
    <t>TRdGTYTCTTGWAGRCAGCAKAYM</t>
  </si>
  <si>
    <t>ZNF490</t>
  </si>
  <si>
    <t>ZN490_HUMAN.H11MO.0.C</t>
  </si>
  <si>
    <t>Q7Z7K2</t>
  </si>
  <si>
    <t>ZN467_HUMAN</t>
  </si>
  <si>
    <t>RGGGAGGRRvvRRRRRRRRRRv</t>
  </si>
  <si>
    <t>ZNF467</t>
  </si>
  <si>
    <t>ZN467_HUMAN.H11MO.0.C</t>
  </si>
  <si>
    <t>Q6P9G9</t>
  </si>
  <si>
    <t>ZN449_HUMAN</t>
  </si>
  <si>
    <t>dGGYTGGGCWb</t>
  </si>
  <si>
    <t>ZNF449</t>
  </si>
  <si>
    <t>ZN449_HUMAN.H11MO.0.C</t>
  </si>
  <si>
    <t>Q9C0F3</t>
  </si>
  <si>
    <t>ZN436_HUMAN</t>
  </si>
  <si>
    <t>ZNF180-like factors{2.3.3.58}</t>
  </si>
  <si>
    <t>KCMdGGARGRCTTCCTGGAGGAGG</t>
  </si>
  <si>
    <t>ZNF436</t>
  </si>
  <si>
    <t>ZN436_HUMAN.H11MO.0.C</t>
  </si>
  <si>
    <t>Q2M1K9</t>
  </si>
  <si>
    <t>ZN423_HUMAN</t>
  </si>
  <si>
    <t>ZNF423-like factors{2.3.4.12}</t>
  </si>
  <si>
    <t>GGCACCCAAGGGTGC</t>
  </si>
  <si>
    <t>ZNF423</t>
  </si>
  <si>
    <t>ZN423_HUMAN.H11MO.0.D</t>
  </si>
  <si>
    <t>Q8TF45</t>
  </si>
  <si>
    <t>ZN418_HUMAN</t>
  </si>
  <si>
    <t>ZNF417-like factors{2.3.4.1}</t>
  </si>
  <si>
    <t>dvhTGMTTYYRK</t>
  </si>
  <si>
    <t>ZNF418</t>
  </si>
  <si>
    <t>ZN418_HUMAN.H11MO.1.D</t>
  </si>
  <si>
    <t>TGYTTYYRKYYdMYbnb</t>
  </si>
  <si>
    <t>ZN418_HUMAN.H11MO.0.C</t>
  </si>
  <si>
    <t>Q86VK4</t>
  </si>
  <si>
    <t>ZN410_HUMAN</t>
  </si>
  <si>
    <t>MTF1-like factors{2.3.3.24}</t>
  </si>
  <si>
    <t>TATTATGGGATGb</t>
  </si>
  <si>
    <t>ZNF410</t>
  </si>
  <si>
    <t>ZN410_HUMAN.H11MO.0.D</t>
  </si>
  <si>
    <t>Q53GI3</t>
  </si>
  <si>
    <t>ZN394_HUMAN</t>
  </si>
  <si>
    <t>dAMWGGARd</t>
  </si>
  <si>
    <t>ZNF394</t>
  </si>
  <si>
    <t>ZN394_HUMAN.H11MO.1.D</t>
  </si>
  <si>
    <t>nRARdRSMMdnvWhWRdRRd</t>
  </si>
  <si>
    <t>ZN394_HUMAN.H11MO.0.C</t>
  </si>
  <si>
    <t>Q8TF68</t>
  </si>
  <si>
    <t>ZN384_HUMAN</t>
  </si>
  <si>
    <t>ZNF362-like factors{2.3.3.37}</t>
  </si>
  <si>
    <t>SGAAAAAvbnbv</t>
  </si>
  <si>
    <t>ZNF384</t>
  </si>
  <si>
    <t>ZN384_HUMAN.H11MO.0.C</t>
  </si>
  <si>
    <t>Q96SR6</t>
  </si>
  <si>
    <t>ZN382_HUMAN</t>
  </si>
  <si>
    <t>ZNF37A-like factors{2.3.4.25}</t>
  </si>
  <si>
    <t>RYdRKRYCKGTWSTRvTKYCYC</t>
  </si>
  <si>
    <t>ZNF382</t>
  </si>
  <si>
    <t>ZN382_HUMAN.H11MO.0.C</t>
  </si>
  <si>
    <t>Q9GZX5</t>
  </si>
  <si>
    <t>ZN350_HUMAN</t>
  </si>
  <si>
    <t>ZNF350-like factors{2.3.3.30}</t>
  </si>
  <si>
    <t>nSGGGvSRMAGnnvKTTGKbKSCn</t>
  </si>
  <si>
    <t>ZNF350</t>
  </si>
  <si>
    <t>ZN350_HUMAN.H11MO.1.D</t>
  </si>
  <si>
    <t>vdbbYYYTTYhWdhYYhd</t>
  </si>
  <si>
    <t>ZN350_HUMAN.H11MO.0.C</t>
  </si>
  <si>
    <t>Q9BYN7</t>
  </si>
  <si>
    <t>ZN341_HUMAN</t>
  </si>
  <si>
    <t>GGAASAGCh</t>
  </si>
  <si>
    <t>ZNF341</t>
  </si>
  <si>
    <t>ZN341_HUMAN.H11MO.1.C</t>
  </si>
  <si>
    <t>dvvRvRvdRvRRddGGAASRGM</t>
  </si>
  <si>
    <t>ZN341_HUMAN.H11MO.0.C</t>
  </si>
  <si>
    <t>Q9H4Z2</t>
  </si>
  <si>
    <t>ZN335_HUMAN</t>
  </si>
  <si>
    <t>YGCCTGW</t>
  </si>
  <si>
    <t>A</t>
  </si>
  <si>
    <t>ZNF335</t>
  </si>
  <si>
    <t>ZN335_HUMAN.H11MO.1.A</t>
  </si>
  <si>
    <t>RKSTGYCYnnnbhdvTGCCTSh</t>
  </si>
  <si>
    <t>ZN335_HUMAN.H11MO.0.A</t>
  </si>
  <si>
    <t>Q96JL9</t>
  </si>
  <si>
    <t>ZN333_HUMAN</t>
  </si>
  <si>
    <t>ZNF177-like factors{2.3.3.40}</t>
  </si>
  <si>
    <t>bKATAATKh</t>
  </si>
  <si>
    <t>ZNF333</t>
  </si>
  <si>
    <t>ZN333_HUMAN.H11MO.0.D</t>
  </si>
  <si>
    <t>Q9NQX6</t>
  </si>
  <si>
    <t>ZN331_HUMAN</t>
  </si>
  <si>
    <t>GRYWGGGCTCAGCWGGRhRG</t>
  </si>
  <si>
    <t>ZNF331</t>
  </si>
  <si>
    <t>ZN331_HUMAN.H11MO.0.C</t>
  </si>
  <si>
    <t>Q86UD4</t>
  </si>
  <si>
    <t>ZN329_HUMAN</t>
  </si>
  <si>
    <t>CTKGATCMARCYdYRCCTGA</t>
  </si>
  <si>
    <t>ZNF329</t>
  </si>
  <si>
    <t>ZN329_HUMAN.H11MO.0.C</t>
  </si>
  <si>
    <t>Q6U7Q0</t>
  </si>
  <si>
    <t>ZN322_HUMAN</t>
  </si>
  <si>
    <t>ZNF322-like factors{2.3.3.52}</t>
  </si>
  <si>
    <t>RdKMCYRbYMCdSdGCYKSv</t>
  </si>
  <si>
    <t>B</t>
  </si>
  <si>
    <t>ZNF322</t>
  </si>
  <si>
    <t>ZN322_HUMAN.H11MO.0.B</t>
  </si>
  <si>
    <t>A2RRD8</t>
  </si>
  <si>
    <t>ZN320_HUMAN</t>
  </si>
  <si>
    <t>KKKGGdYMhRKGGGCMddbK</t>
  </si>
  <si>
    <t>ZNF320</t>
  </si>
  <si>
    <t>ZN320_HUMAN.H11MO.0.C</t>
  </si>
  <si>
    <t>Q96PQ6</t>
  </si>
  <si>
    <t>ZN317_HUMAN</t>
  </si>
  <si>
    <t>RRhWRACWRMWGAYWWYYbR</t>
  </si>
  <si>
    <t>ZNF317</t>
  </si>
  <si>
    <t>ZN317_HUMAN.H11MO.0.C</t>
  </si>
  <si>
    <t>Q9UDV7</t>
  </si>
  <si>
    <t>ZN282_HUMAN</t>
  </si>
  <si>
    <t>ZNF282-like factors{2.3.3.38}</t>
  </si>
  <si>
    <t>nRKRTnAKGSGARW</t>
  </si>
  <si>
    <t>ZN282_HUMAN.H11MO.0.D</t>
  </si>
  <si>
    <t>Q9Y2X9</t>
  </si>
  <si>
    <t>ZN281_HUMAN</t>
  </si>
  <si>
    <t>ZNF148-like factors{2.3.3.13}</t>
  </si>
  <si>
    <t>vRvdGGGGGWdGGGv</t>
  </si>
  <si>
    <t>ZNF281</t>
  </si>
  <si>
    <t>ZN281_HUMAN.H11MO.0.A</t>
  </si>
  <si>
    <t>Q96GC6</t>
  </si>
  <si>
    <t>ZN274_HUMAN</t>
  </si>
  <si>
    <t>CAYMMWGGWRWGRARYSbWA</t>
  </si>
  <si>
    <t>ZNF274</t>
  </si>
  <si>
    <t>ZN274_HUMAN.H11MO.0.A</t>
  </si>
  <si>
    <t>O43296</t>
  </si>
  <si>
    <t>ZN264_HUMAN</t>
  </si>
  <si>
    <t>ZNF460-like factors{2.3.3.54}</t>
  </si>
  <si>
    <t>bhYbvhMWRGRCWCKRATYbhMYb</t>
  </si>
  <si>
    <t>ZNF264</t>
  </si>
  <si>
    <t>ZN264_HUMAN.H11MO.0.C</t>
  </si>
  <si>
    <t>O14978</t>
  </si>
  <si>
    <t>ZN263_HUMAN</t>
  </si>
  <si>
    <t>vdGGGAGGASK</t>
  </si>
  <si>
    <t>ZNF263</t>
  </si>
  <si>
    <t>ZN263_HUMAN.H11MO.1.A</t>
  </si>
  <si>
    <t>RGGAGGASSvvSvRRvvvnv</t>
  </si>
  <si>
    <t>ZN263_HUMAN.H11MO.0.A</t>
  </si>
  <si>
    <t>Q3ZCT1</t>
  </si>
  <si>
    <t>ZN260_HUMAN</t>
  </si>
  <si>
    <t>ZNF146-like factors{2.3.3.55}</t>
  </si>
  <si>
    <t>TTTdYATRGCTGYATASTATTCCA</t>
  </si>
  <si>
    <t>ZNF260</t>
  </si>
  <si>
    <t>ZN260_HUMAN.H11MO.0.C</t>
  </si>
  <si>
    <t>Q9Y2Q1</t>
  </si>
  <si>
    <t>ZN257_HUMAN</t>
  </si>
  <si>
    <t>KhYCTTGCCWCh</t>
  </si>
  <si>
    <t>ZNF257</t>
  </si>
  <si>
    <t>ZN257_HUMAN.H11MO.0.C</t>
  </si>
  <si>
    <t>P15622</t>
  </si>
  <si>
    <t>ZN250_HUMAN</t>
  </si>
  <si>
    <t>TACCATRCTGTTTTGRTTAC</t>
  </si>
  <si>
    <t>ZNF250</t>
  </si>
  <si>
    <t>ZN250_HUMAN.H11MO.0.C</t>
  </si>
  <si>
    <t>Q9UNY5</t>
  </si>
  <si>
    <t>ZN232_HUMAN</t>
  </si>
  <si>
    <t>nGTTAAAYGTAGATTAARh</t>
  </si>
  <si>
    <t>ZNF232</t>
  </si>
  <si>
    <t>ZN232_HUMAN.H11MO.0.D</t>
  </si>
  <si>
    <t>Q9P2Y4</t>
  </si>
  <si>
    <t>ZN219_HUMAN</t>
  </si>
  <si>
    <t>ZNF219-like factors{2.3.4.2}</t>
  </si>
  <si>
    <t>bdGGGGGGYSGW</t>
  </si>
  <si>
    <t>ZNF219</t>
  </si>
  <si>
    <t>ZN219_HUMAN.H11MO.0.D</t>
  </si>
  <si>
    <t>Q9UL59</t>
  </si>
  <si>
    <t>ZN214_HUMAN</t>
  </si>
  <si>
    <t>ZNF214-like factors{2.3.3.56}</t>
  </si>
  <si>
    <t>hhvWTbYKRdKSMhbTYSATKW</t>
  </si>
  <si>
    <t>ZNF214</t>
  </si>
  <si>
    <t>ZN214_HUMAN.H11MO.0.C</t>
  </si>
  <si>
    <t>Q9UQR1</t>
  </si>
  <si>
    <t>ZN148_HUMAN</t>
  </si>
  <si>
    <t>dSvKbGGGGGhGGGR</t>
  </si>
  <si>
    <t>ZNF148</t>
  </si>
  <si>
    <t>ZN148_HUMAN.H11MO.0.D</t>
  </si>
  <si>
    <t>P52747</t>
  </si>
  <si>
    <t>ZN143_HUMAN</t>
  </si>
  <si>
    <t>dGSMYbMTGGGAddYGTAGTYY</t>
  </si>
  <si>
    <t>ZN143_HUMAN.H11MO.0.A</t>
  </si>
  <si>
    <t>P52738</t>
  </si>
  <si>
    <t>ZN140_HUMAN</t>
  </si>
  <si>
    <t>ZNF302-like factors{2.3.3.44}</t>
  </si>
  <si>
    <t>hvddvnbYWKCAATTCYRCTCMhh</t>
  </si>
  <si>
    <t>ZNF140</t>
  </si>
  <si>
    <t>ZN140_HUMAN.H11MO.0.C</t>
  </si>
  <si>
    <t>P52737</t>
  </si>
  <si>
    <t>ZN136_HUMAN</t>
  </si>
  <si>
    <t>TRCTGGRTAYARWATTCTKGGYTG</t>
  </si>
  <si>
    <t>ZNF136</t>
  </si>
  <si>
    <t>ZN136_HUMAN.H11MO.0.C</t>
  </si>
  <si>
    <t>P52741</t>
  </si>
  <si>
    <t>ZN134_HUMAN</t>
  </si>
  <si>
    <t>ZNF134-like factors{2.3.4.24}</t>
  </si>
  <si>
    <t>vhYYvAKCAGKKGMdGS</t>
  </si>
  <si>
    <t>ZNF134</t>
  </si>
  <si>
    <t>ZN134_HUMAN.H11MO.1.C</t>
  </si>
  <si>
    <t>KhvdbvhYYMAKCAGKKGMdGS</t>
  </si>
  <si>
    <t>ZN134_HUMAN.H11MO.0.C</t>
  </si>
  <si>
    <t>P58317</t>
  </si>
  <si>
    <t>ZN121_HUMAN</t>
  </si>
  <si>
    <t>CKGGGCAAYAbAGYRAGACY</t>
  </si>
  <si>
    <t>ZNF121</t>
  </si>
  <si>
    <t>ZN121_HUMAN.H11MO.0.C</t>
  </si>
  <si>
    <t>Q9BRR0</t>
  </si>
  <si>
    <t>ZKSC3_HUMAN</t>
  </si>
  <si>
    <t>ZKSCAN3-like factors{2.3.3.26}</t>
  </si>
  <si>
    <t>bbYRAGGYTAd</t>
  </si>
  <si>
    <t>ZKSCAN3</t>
  </si>
  <si>
    <t>ZKSC3_HUMAN.H11MO.0.D</t>
  </si>
  <si>
    <t>P17029</t>
  </si>
  <si>
    <t>ZKSC1_HUMAN</t>
  </si>
  <si>
    <t>dvhdbhCCTACTRWGYGYh</t>
  </si>
  <si>
    <t>ZKSCAN1</t>
  </si>
  <si>
    <t>ZKSC1_HUMAN.H11MO.0.B</t>
  </si>
  <si>
    <t>Q96PE6</t>
  </si>
  <si>
    <t>ZIM3_HUMAN</t>
  </si>
  <si>
    <t>bdRGvTTTCTGTTdhhnbh</t>
  </si>
  <si>
    <t>ZIM3</t>
  </si>
  <si>
    <t>ZIM3_HUMAN.H11MO.0.C</t>
  </si>
  <si>
    <t>Q8N9L1</t>
  </si>
  <si>
    <t>ZIC4_HUMAN</t>
  </si>
  <si>
    <t>GLI-like factors{2.3.3.1}</t>
  </si>
  <si>
    <t>dMdCMGCGGGGGKYv</t>
  </si>
  <si>
    <t>ZIC4</t>
  </si>
  <si>
    <t>ZIC4_HUMAN.H11MO.0.D</t>
  </si>
  <si>
    <t>O60481</t>
  </si>
  <si>
    <t>ZIC3_HUMAN</t>
  </si>
  <si>
    <t>dvvbhCCTGCTGdGn</t>
  </si>
  <si>
    <t>ZIC3</t>
  </si>
  <si>
    <t>ZIC3_HUMAN.H11MO.0.B</t>
  </si>
  <si>
    <t>O95409</t>
  </si>
  <si>
    <t>ZIC2_HUMAN</t>
  </si>
  <si>
    <t>dvhhhCCYGCdGdKn</t>
  </si>
  <si>
    <t>ZIC2_HUMAN.H11MO.0.D</t>
  </si>
  <si>
    <t>Q15915</t>
  </si>
  <si>
    <t>ZIC1_HUMAN</t>
  </si>
  <si>
    <t>KGGGWGSKv</t>
  </si>
  <si>
    <t>ZIC1</t>
  </si>
  <si>
    <t>ZIC1_HUMAN.H11MO.0.B</t>
  </si>
  <si>
    <t>P17010</t>
  </si>
  <si>
    <t>ZFX_HUMAN</t>
  </si>
  <si>
    <t>ZFX/ZFY factors{2.3.3.65}</t>
  </si>
  <si>
    <t>dbvRRvvvAGGCMbvRv</t>
  </si>
  <si>
    <t>ZFX</t>
  </si>
  <si>
    <t>ZFX_HUMAN.H11MO.1.A</t>
  </si>
  <si>
    <t>vbAGGCCbvR</t>
  </si>
  <si>
    <t>ZFX_HUMAN.H11MO.0.A</t>
  </si>
  <si>
    <t>Q8N141</t>
  </si>
  <si>
    <t>ZFP82_HUMAN</t>
  </si>
  <si>
    <t>ZFP30-like factors{2.3.3.63}</t>
  </si>
  <si>
    <t>YTCChdYYbWbbRWdWYTYYYTYY</t>
  </si>
  <si>
    <t>ZFP82</t>
  </si>
  <si>
    <t>ZFP82_HUMAN.H11MO.0.C</t>
  </si>
  <si>
    <t>Q96MM3</t>
  </si>
  <si>
    <t>ZFP42_HUMAN</t>
  </si>
  <si>
    <t>YY1-like factors{2.3.3.9}</t>
  </si>
  <si>
    <t>vRShGCCATYTY</t>
  </si>
  <si>
    <t>ZFP42</t>
  </si>
  <si>
    <t>ZFP42_HUMAN.H11MO.0.A</t>
  </si>
  <si>
    <t>Q8NHY6</t>
  </si>
  <si>
    <t>ZFP28_HUMAN</t>
  </si>
  <si>
    <t>YTCYRTTTCYTCWKRWKTSA</t>
  </si>
  <si>
    <t>ZFP28</t>
  </si>
  <si>
    <t>ZFP28_HUMAN.H11MO.0.C</t>
  </si>
  <si>
    <t>Q15911</t>
  </si>
  <si>
    <t>ZFHX3_HUMAN</t>
  </si>
  <si>
    <t>ZFHX{3.1.8.4}</t>
  </si>
  <si>
    <t>HD-ZF factors{3.1.8}</t>
  </si>
  <si>
    <t>RTTAATWATTW</t>
  </si>
  <si>
    <t>ZFHX3</t>
  </si>
  <si>
    <t>ZFHX3_HUMAN.H11MO.0.D</t>
  </si>
  <si>
    <t>Q9NPA5</t>
  </si>
  <si>
    <t>ZF64A_HUMAN</t>
  </si>
  <si>
    <t>vSvSCCCRGGRvbvnS</t>
  </si>
  <si>
    <t>ZFP64</t>
  </si>
  <si>
    <t>ZF64A_HUMAN.H11MO.0.D</t>
  </si>
  <si>
    <t>P31629</t>
  </si>
  <si>
    <t>ZEP2_HUMAN</t>
  </si>
  <si>
    <t>HIV EP-factors{2.3.4.5}</t>
  </si>
  <si>
    <t>KSYdbGGWAASnSS</t>
  </si>
  <si>
    <t>HIVEP2</t>
  </si>
  <si>
    <t>ZEP2_HUMAN.H11MO.0.D</t>
  </si>
  <si>
    <t>P15822</t>
  </si>
  <si>
    <t>ZEP1_HUMAN</t>
  </si>
  <si>
    <t>KGGGAAATCCCn</t>
  </si>
  <si>
    <t>HIVEP1</t>
  </si>
  <si>
    <t>ZEP1_HUMAN.H11MO.0.D</t>
  </si>
  <si>
    <t>P37275</t>
  </si>
  <si>
    <t>ZEB1_HUMAN</t>
  </si>
  <si>
    <t>ZEB{3.1.8.3}</t>
  </si>
  <si>
    <t>bvCAGGTRdR</t>
  </si>
  <si>
    <t>ZEB1</t>
  </si>
  <si>
    <t>ZEB1_HUMAN.H11MO.0.A</t>
  </si>
  <si>
    <t>Q15916</t>
  </si>
  <si>
    <t>ZBTB6_HUMAN</t>
  </si>
  <si>
    <t>ZBTB6-like factors{2.3.3.11}</t>
  </si>
  <si>
    <t>KRhSMTRGAGMYd</t>
  </si>
  <si>
    <t>ZBTB6</t>
  </si>
  <si>
    <t>ZBTB6_HUMAN.H11MO.0.C</t>
  </si>
  <si>
    <t>Q9P1Z0</t>
  </si>
  <si>
    <t>ZBTB4_HUMAN</t>
  </si>
  <si>
    <t>CRAKAGCGRTdGYGn</t>
  </si>
  <si>
    <t>ZBTB4</t>
  </si>
  <si>
    <t>ZBTB4_HUMAN.H11MO.1.D</t>
  </si>
  <si>
    <t>nCWAGATGGCWGGTGGG</t>
  </si>
  <si>
    <t>ZBTB4_HUMAN.H11MO.0.D</t>
  </si>
  <si>
    <t>O15156</t>
  </si>
  <si>
    <t>ZBT7B_HUMAN</t>
  </si>
  <si>
    <t>ZBTB7 factors{2.3.3.8}</t>
  </si>
  <si>
    <t>bbbbGTTGCCRdGGnRMCvvv</t>
  </si>
  <si>
    <t>ZBTB7B</t>
  </si>
  <si>
    <t>ZBT7B_HUMAN.H11MO.0.D</t>
  </si>
  <si>
    <t>O95365</t>
  </si>
  <si>
    <t>ZBT7A_HUMAN</t>
  </si>
  <si>
    <t>vRGGGKCbY</t>
  </si>
  <si>
    <t>ZBT7A_HUMAN.H11MO.0.A</t>
  </si>
  <si>
    <t>Q6ZSB9</t>
  </si>
  <si>
    <t>ZBT49_HUMAN</t>
  </si>
  <si>
    <t>nnvnTAATYdv</t>
  </si>
  <si>
    <t>ZBTB49</t>
  </si>
  <si>
    <t>ZBT49_HUMAN.H11MO.0.D</t>
  </si>
  <si>
    <t>P10074</t>
  </si>
  <si>
    <t>ZBT48_HUMAN</t>
  </si>
  <si>
    <t>YhAGGGAbYvdv</t>
  </si>
  <si>
    <t>ZBTB48</t>
  </si>
  <si>
    <t>ZBT48_HUMAN.H11MO.0.C</t>
  </si>
  <si>
    <t>Q99592</t>
  </si>
  <si>
    <t>ZBT18_HUMAN</t>
  </si>
  <si>
    <t>ZNF238-like factors{2.3.3.16}</t>
  </si>
  <si>
    <t>bSCAGhTGYKb</t>
  </si>
  <si>
    <t>ZBTB18</t>
  </si>
  <si>
    <t>ZBT18_HUMAN.H11MO.0.C</t>
  </si>
  <si>
    <t>Q13105</t>
  </si>
  <si>
    <t>ZBT17_HUMAN</t>
  </si>
  <si>
    <t>vndRvhGRRGGMdGRRvdd</t>
  </si>
  <si>
    <t>ZBTB17</t>
  </si>
  <si>
    <t>ZBT17_HUMAN.H11MO.0.A</t>
  </si>
  <si>
    <t>O43829</t>
  </si>
  <si>
    <t>ZBT14_HUMAN</t>
  </si>
  <si>
    <t>vSAGCGCGS</t>
  </si>
  <si>
    <t>ZBTB14</t>
  </si>
  <si>
    <t>ZBT14_HUMAN.H11MO.0.C</t>
  </si>
  <si>
    <t>O96006</t>
  </si>
  <si>
    <t>ZBED1_HUMAN</t>
  </si>
  <si>
    <t>ZBED1 (ALTE, DREF, TRAMP){2.3.5.0.1}</t>
  </si>
  <si>
    <t>BED zinc finger factors{2.3.5}</t>
  </si>
  <si>
    <t>YATGTCGCGATAb</t>
  </si>
  <si>
    <t>ZBED1</t>
  </si>
  <si>
    <t>ZBED1_HUMAN.H11MO.0.D</t>
  </si>
  <si>
    <t>O60765</t>
  </si>
  <si>
    <t>Z354A_HUMAN</t>
  </si>
  <si>
    <t>ZNF354A-like factors{2.3.3.64}</t>
  </si>
  <si>
    <t>dYYYhddYYhYTTMYWYYYRdTRW</t>
  </si>
  <si>
    <t>ZNF354A</t>
  </si>
  <si>
    <t>Z354A_HUMAN.H11MO.0.C</t>
  </si>
  <si>
    <t>O75467</t>
  </si>
  <si>
    <t>Z324A_HUMAN</t>
  </si>
  <si>
    <t>ZNF324 factors{2.3.3.36}</t>
  </si>
  <si>
    <t>bvYYvMvCYhKCCYYdbMhbbMh</t>
  </si>
  <si>
    <t>ZNF324</t>
  </si>
  <si>
    <t>Z324A_HUMAN.H11MO.0.C</t>
  </si>
  <si>
    <t>P17861</t>
  </si>
  <si>
    <t>XBP1_HUMAN</t>
  </si>
  <si>
    <t>XBP-1{1.1.5.0.1}</t>
  </si>
  <si>
    <t>XBP-1-related factors{1.1.5}</t>
  </si>
  <si>
    <t>RvdSASGTGKM</t>
  </si>
  <si>
    <t>XBP1</t>
  </si>
  <si>
    <t>XBP1_HUMAN.H11MO.0.D</t>
  </si>
  <si>
    <t>P19544</t>
  </si>
  <si>
    <t>WT1_HUMAN</t>
  </si>
  <si>
    <t>vdGGGAGKddv</t>
  </si>
  <si>
    <t>WT1</t>
  </si>
  <si>
    <t>WT1_HUMAN.H11MO.1.B</t>
  </si>
  <si>
    <t>vvSnGRRGGAGGRRvvRRvR</t>
  </si>
  <si>
    <t>WT1_HUMAN.H11MO.0.C</t>
  </si>
  <si>
    <t>P58304</t>
  </si>
  <si>
    <t>VSX2_HUMAN</t>
  </si>
  <si>
    <t>VSX{3.1.3.28}</t>
  </si>
  <si>
    <t>Paired-related HD factors{3.1.3}</t>
  </si>
  <si>
    <t>hTAATTAGCYdn</t>
  </si>
  <si>
    <t>VSX2</t>
  </si>
  <si>
    <t>VSX2_HUMAN.H11MO.0.D</t>
  </si>
  <si>
    <t>Q9NZR4</t>
  </si>
  <si>
    <t>VSX1_HUMAN</t>
  </si>
  <si>
    <t>TAATTARhhhhhhd</t>
  </si>
  <si>
    <t>VSX1</t>
  </si>
  <si>
    <t>VSX1_HUMAN.H11MO.0.D</t>
  </si>
  <si>
    <t>Q14119</t>
  </si>
  <si>
    <t>VEZF1_HUMAN</t>
  </si>
  <si>
    <t>MAZ-like factors{2.3.4.8}</t>
  </si>
  <si>
    <t>dvnRGGARRdRv</t>
  </si>
  <si>
    <t>VEZF1</t>
  </si>
  <si>
    <t>VEZF1_HUMAN.H11MO.1.C</t>
  </si>
  <si>
    <t>dRRRRdRdRGGARRRRRvdRRR</t>
  </si>
  <si>
    <t>VEZF1_HUMAN.H11MO.0.C</t>
  </si>
  <si>
    <t>O95231</t>
  </si>
  <si>
    <t>VENTX_HUMAN</t>
  </si>
  <si>
    <t>VENTX{3.1.2.23}</t>
  </si>
  <si>
    <t>NK-related factors{3.1.2}</t>
  </si>
  <si>
    <t>bvYTAATYRbYhhhhhWWd</t>
  </si>
  <si>
    <t>VENTX</t>
  </si>
  <si>
    <t>VENTX_HUMAN.H11MO.0.D</t>
  </si>
  <si>
    <t>P11473</t>
  </si>
  <si>
    <t>VDR_HUMAN</t>
  </si>
  <si>
    <t>Vitamin D receptor (NR1I){2.1.2.4}</t>
  </si>
  <si>
    <t>Thyroid hormone receptor-related factors (NR1){2.1.2}</t>
  </si>
  <si>
    <t>hRRGKTCAb</t>
  </si>
  <si>
    <t>VDR</t>
  </si>
  <si>
    <t>VDR_HUMAN.H11MO.1.A</t>
  </si>
  <si>
    <t>vRGKKSAbhRRGKKYR</t>
  </si>
  <si>
    <t>VDR_HUMAN.H11MO.0.A</t>
  </si>
  <si>
    <t>Q9UIW0</t>
  </si>
  <si>
    <t>VAX2_HUMAN</t>
  </si>
  <si>
    <t>VAX{3.1.2.22}</t>
  </si>
  <si>
    <t>dndddvbTAATTARbR</t>
  </si>
  <si>
    <t>VAX2</t>
  </si>
  <si>
    <t>VAX2_HUMAN.H11MO.0.D</t>
  </si>
  <si>
    <t>Q5SQQ9</t>
  </si>
  <si>
    <t>VAX1_HUMAN</t>
  </si>
  <si>
    <t>dvTAATTARbvKWAWTWd</t>
  </si>
  <si>
    <t>VAX1</t>
  </si>
  <si>
    <t>VAX1_HUMAN.H11MO.0.D</t>
  </si>
  <si>
    <t>Q15853</t>
  </si>
  <si>
    <t>USF2_HUMAN</t>
  </si>
  <si>
    <t>USF factors{1.2.6.2}</t>
  </si>
  <si>
    <t>bHLH-ZIP factors{1.2.6}</t>
  </si>
  <si>
    <t>vvGTCACGTGvbvvbbvbb</t>
  </si>
  <si>
    <t>USF2</t>
  </si>
  <si>
    <t>USF2_HUMAN.H11MO.0.A</t>
  </si>
  <si>
    <t>P22415</t>
  </si>
  <si>
    <t>USF1_HUMAN</t>
  </si>
  <si>
    <t>vGTCACGTGvbb</t>
  </si>
  <si>
    <t>USF1</t>
  </si>
  <si>
    <t>USF1_HUMAN.H11MO.0.A</t>
  </si>
  <si>
    <t>A6NJT0</t>
  </si>
  <si>
    <t>UNC4_HUMAN</t>
  </si>
  <si>
    <t>UNCX{3.1.3.27}</t>
  </si>
  <si>
    <t>TAATYTAATTA</t>
  </si>
  <si>
    <t>UNCX</t>
  </si>
  <si>
    <t>UNC4_HUMAN.H11MO.0.D</t>
  </si>
  <si>
    <t>Q9NZI7</t>
  </si>
  <si>
    <t>UBIP1_HUMAN</t>
  </si>
  <si>
    <t>UBP-1 (LBP-1, SEF){6.7.2.0.3}</t>
  </si>
  <si>
    <t>CP2-related factors{6.7.2}</t>
  </si>
  <si>
    <t>nCAGAdA</t>
  </si>
  <si>
    <t>UBP1</t>
  </si>
  <si>
    <t>UBIP1_HUMAN.H11MO.0.D</t>
  </si>
  <si>
    <t>O15391</t>
  </si>
  <si>
    <t>TYY2_HUMAN</t>
  </si>
  <si>
    <t>WhvATGGCGGn</t>
  </si>
  <si>
    <t>YY2</t>
  </si>
  <si>
    <t>TYY2_HUMAN.H11MO.0.D</t>
  </si>
  <si>
    <t>P25490</t>
  </si>
  <si>
    <t>TYY1_HUMAN</t>
  </si>
  <si>
    <t>MAARATGGCKSM</t>
  </si>
  <si>
    <t>YY1</t>
  </si>
  <si>
    <t>TYY1_HUMAN.H11MO.0.A</t>
  </si>
  <si>
    <t>Q15672</t>
  </si>
  <si>
    <t>TWST1_HUMAN</t>
  </si>
  <si>
    <t>Twist-like factors{1.2.3.2}</t>
  </si>
  <si>
    <t>Tal-related factors{1.2.3}</t>
  </si>
  <si>
    <t>nvCATSTGKW</t>
  </si>
  <si>
    <t>TWIST1</t>
  </si>
  <si>
    <t>TWST1_HUMAN.H11MO.1.A</t>
  </si>
  <si>
    <t>vCAKMTGKWWbbvRTYW</t>
  </si>
  <si>
    <t>TWST1_HUMAN.H11MO.0.A</t>
  </si>
  <si>
    <t>P31314</t>
  </si>
  <si>
    <t>TLX1_HUMAN</t>
  </si>
  <si>
    <t>TLX{3.1.2.21}</t>
  </si>
  <si>
    <t>hYKKYAvbndvMYnRKd</t>
  </si>
  <si>
    <t>TLX1</t>
  </si>
  <si>
    <t>TLX1_HUMAN.H11MO.0.D</t>
  </si>
  <si>
    <t>P10828</t>
  </si>
  <si>
    <t>THB_HUMAN</t>
  </si>
  <si>
    <t>Thyroid hormone receptors (NR1A){2.1.2.2}</t>
  </si>
  <si>
    <t>bvTSAGGTCA</t>
  </si>
  <si>
    <t>THRB</t>
  </si>
  <si>
    <t>THB_HUMAN.H11MO.1.D</t>
  </si>
  <si>
    <t>vRvSYvMbvKSAGGTCA</t>
  </si>
  <si>
    <t>THB_HUMAN.H11MO.0.C</t>
  </si>
  <si>
    <t>P10827</t>
  </si>
  <si>
    <t>THA_HUMAN</t>
  </si>
  <si>
    <t>nYvAGGTCAv</t>
  </si>
  <si>
    <t>THRA</t>
  </si>
  <si>
    <t>THA_HUMAN.H11MO.1.D</t>
  </si>
  <si>
    <t>dKKhvRnhbvAGGWSMb</t>
  </si>
  <si>
    <t>THA_HUMAN.H11MO.0.C</t>
  </si>
  <si>
    <t>Q9NVV9</t>
  </si>
  <si>
    <t>THAP1_HUMAN</t>
  </si>
  <si>
    <t>THAP1{2.9.1.0.1}</t>
  </si>
  <si>
    <t>THAP-related factors{2.9.1}</t>
  </si>
  <si>
    <t>vSSvKCCMYbKYbvnbbhKGSY</t>
  </si>
  <si>
    <t>THAP1</t>
  </si>
  <si>
    <t>THAP1_HUMAN.H11MO.0.C</t>
  </si>
  <si>
    <t>Q96EK4</t>
  </si>
  <si>
    <t>THA11_HUMAN</t>
  </si>
  <si>
    <t>THAP11 (HRIHFB2206){2.9.1.0.11}</t>
  </si>
  <si>
    <t>KGSMTbCTGGGAvWTGTAGTYY</t>
  </si>
  <si>
    <t>THAP11</t>
  </si>
  <si>
    <t>THA11_HUMAN.H11MO.0.B</t>
  </si>
  <si>
    <t>Q9GZN2</t>
  </si>
  <si>
    <t>TGIF2_HUMAN</t>
  </si>
  <si>
    <t>TGIF{3.1.4.6}</t>
  </si>
  <si>
    <t>TALE-type homeo domain factors{3.1.4}</t>
  </si>
  <si>
    <t>nTGACASvYRY</t>
  </si>
  <si>
    <t>TGIF2</t>
  </si>
  <si>
    <t>TGIF2_HUMAN.H11MO.0.D</t>
  </si>
  <si>
    <t>Q15583</t>
  </si>
  <si>
    <t>TGIF1_HUMAN</t>
  </si>
  <si>
    <t>WGACAGb</t>
  </si>
  <si>
    <t>TGIF1</t>
  </si>
  <si>
    <t>TGIF1_HUMAN.H11MO.0.A</t>
  </si>
  <si>
    <t>P19484</t>
  </si>
  <si>
    <t>TFEB_HUMAN</t>
  </si>
  <si>
    <t>TFE3-like factors{1.2.6.1}</t>
  </si>
  <si>
    <t>dGTCACGTG</t>
  </si>
  <si>
    <t>TFEB</t>
  </si>
  <si>
    <t>TFEB_HUMAN.H11MO.0.C</t>
  </si>
  <si>
    <t>P19532</t>
  </si>
  <si>
    <t>TFE3_HUMAN</t>
  </si>
  <si>
    <t>dGTCACGTGA</t>
  </si>
  <si>
    <t>TFE3</t>
  </si>
  <si>
    <t>TFE3_HUMAN.H11MO.0.B</t>
  </si>
  <si>
    <t>P15923</t>
  </si>
  <si>
    <t>TFE2_HUMAN</t>
  </si>
  <si>
    <t>E2A (TCF-3, ITF-1){1.2.1.0.1}</t>
  </si>
  <si>
    <t>E2A-related factors{1.2.1}</t>
  </si>
  <si>
    <t>vMCASCTGShn</t>
  </si>
  <si>
    <t>TCF3</t>
  </si>
  <si>
    <t>TFE2_HUMAN.H11MO.0.A</t>
  </si>
  <si>
    <t>Q14186</t>
  </si>
  <si>
    <t>TFDP1_HUMAN</t>
  </si>
  <si>
    <t>Dp-1{3.3.2.2}</t>
  </si>
  <si>
    <t>E2F-related factors{3.3.2}</t>
  </si>
  <si>
    <t>vvddSGCGGGAMdn</t>
  </si>
  <si>
    <t>TFDP1</t>
  </si>
  <si>
    <t>TFDP1_HUMAN.H11MO.0.C</t>
  </si>
  <si>
    <t>Q12800</t>
  </si>
  <si>
    <t>TFCP2_HUMAN</t>
  </si>
  <si>
    <t>CP2 (LSF, SEF){6.7.2.0.1}</t>
  </si>
  <si>
    <t>SSCWGvnMdvRCMRGM</t>
  </si>
  <si>
    <t>TFCP2</t>
  </si>
  <si>
    <t>TFCP2_HUMAN.H11MO.0.D</t>
  </si>
  <si>
    <t>Q01664</t>
  </si>
  <si>
    <t>TFAP4_HUMAN</t>
  </si>
  <si>
    <t>AP-4{1.2.6.4}</t>
  </si>
  <si>
    <t>hCAGCTGdKb</t>
  </si>
  <si>
    <t>TFAP4</t>
  </si>
  <si>
    <t>TFAP4_HUMAN.H11MO.0.A</t>
  </si>
  <si>
    <t>Q9NQB0</t>
  </si>
  <si>
    <t>TF7L2_HUMAN</t>
  </si>
  <si>
    <t>TCF-7L2 (TCF-4) [1]{4.1.3.0.3}</t>
  </si>
  <si>
    <t>TCF-7-related factors{4.1.3}</t>
  </si>
  <si>
    <t>bbCTTTGATSYbb</t>
  </si>
  <si>
    <t>TCF7L2</t>
  </si>
  <si>
    <t>TF7L2_HUMAN.H11MO.0.A</t>
  </si>
  <si>
    <t>Q9HCS4</t>
  </si>
  <si>
    <t>TF7L1_HUMAN</t>
  </si>
  <si>
    <t>TCF-7L1 (TCF-3) [1]{4.1.3.0.2}</t>
  </si>
  <si>
    <t>dbbCTTTSAWSWb</t>
  </si>
  <si>
    <t>TCF7L1</t>
  </si>
  <si>
    <t>TF7L1_HUMAN.H11MO.0.B</t>
  </si>
  <si>
    <t>Q04206</t>
  </si>
  <si>
    <t>TF65_HUMAN</t>
  </si>
  <si>
    <t>NF-kappaB p65 subunit-like factors{6.1.1.2}</t>
  </si>
  <si>
    <t>NF-kappaB-related factors{6.1.1}</t>
  </si>
  <si>
    <t>hdGGGRhTTTCChv</t>
  </si>
  <si>
    <t>TF65_HUMAN.H11MO.0.A</t>
  </si>
  <si>
    <t>Q8IUE1</t>
  </si>
  <si>
    <t>TF2LX_HUMAN</t>
  </si>
  <si>
    <t>RYhnTdACAKCTnTC</t>
  </si>
  <si>
    <t>TGIF2LX</t>
  </si>
  <si>
    <t>TF2LX_HUMAN.H11MO.0.D</t>
  </si>
  <si>
    <t>Q10587</t>
  </si>
  <si>
    <t>TEF_HUMAN</t>
  </si>
  <si>
    <t>PAR factors{1.1.8.2}</t>
  </si>
  <si>
    <t>C/EBP-related{1.1.8}</t>
  </si>
  <si>
    <t>TGdTKAYRTMdvYd</t>
  </si>
  <si>
    <t>TEF</t>
  </si>
  <si>
    <t>TEF_HUMAN.H11MO.0.D</t>
  </si>
  <si>
    <t>Q15561</t>
  </si>
  <si>
    <t>TEAD4_HUMAN</t>
  </si>
  <si>
    <t>TEF-3 (TEAD-4, TCF-13L1){3.6.1.0.2}</t>
  </si>
  <si>
    <t>TEF-1-related factors{3.6.1}</t>
  </si>
  <si>
    <t>RMATTCCWdvvhb</t>
  </si>
  <si>
    <t>TEAD4</t>
  </si>
  <si>
    <t>TEAD4_HUMAN.H11MO.0.A</t>
  </si>
  <si>
    <t>Q99594</t>
  </si>
  <si>
    <t>TEAD3_HUMAN</t>
  </si>
  <si>
    <t>TEF-5 (TEAD-3, TEAD5){3.6.1.0.4}</t>
  </si>
  <si>
    <t>nAWATTYCTGhhbYh</t>
  </si>
  <si>
    <t>TEAD3</t>
  </si>
  <si>
    <t>TEAD3_HUMAN.H11MO.0.D</t>
  </si>
  <si>
    <t>Q15562</t>
  </si>
  <si>
    <t>TEAD2_HUMAN</t>
  </si>
  <si>
    <t>TEF-4 (TEAD-2){3.6.1.0.3}</t>
  </si>
  <si>
    <t>hbRMATTCCWRv</t>
  </si>
  <si>
    <t>TEAD2</t>
  </si>
  <si>
    <t>TEAD2_HUMAN.H11MO.0.D</t>
  </si>
  <si>
    <t>P28347</t>
  </si>
  <si>
    <t>TEAD1_HUMAN</t>
  </si>
  <si>
    <t>TEF-1 (TEAD-1, TCF-13){3.6.1.0.1}</t>
  </si>
  <si>
    <t>RCATTCCWdvvh</t>
  </si>
  <si>
    <t>TEAD1</t>
  </si>
  <si>
    <t>TEAD1_HUMAN.H11MO.0.A</t>
  </si>
  <si>
    <t>P36402</t>
  </si>
  <si>
    <t>TCF7_HUMAN</t>
  </si>
  <si>
    <t>TCF-7 (TCF-1) [1]{4.1.3.0.1}</t>
  </si>
  <si>
    <t>dvhvWSWTSAAARvnv</t>
  </si>
  <si>
    <t>TCF7</t>
  </si>
  <si>
    <t>TCF7_HUMAN.H11MO.0.A</t>
  </si>
  <si>
    <t>Q99593</t>
  </si>
  <si>
    <t>TBX5_HUMAN</t>
  </si>
  <si>
    <t>TBX5{6.5.4.0.4}</t>
  </si>
  <si>
    <t>TBX2-related factors{6.5.4}</t>
  </si>
  <si>
    <t>ARGTGKSW</t>
  </si>
  <si>
    <t>TBX5</t>
  </si>
  <si>
    <t>TBX5_HUMAN.H11MO.0.D</t>
  </si>
  <si>
    <t>P57082</t>
  </si>
  <si>
    <t>TBX4_HUMAN</t>
  </si>
  <si>
    <t>TBX4{6.5.4.0.3}</t>
  </si>
  <si>
    <t>dAGGTGYKAhWhnYvMMMYb</t>
  </si>
  <si>
    <t>TBX4</t>
  </si>
  <si>
    <t>TBX4_HUMAN.H11MO.0.D</t>
  </si>
  <si>
    <t>O15119</t>
  </si>
  <si>
    <t>TBX3_HUMAN</t>
  </si>
  <si>
    <t>TBX3{6.5.4.0.2}</t>
  </si>
  <si>
    <t>dvWGGTGbnRv</t>
  </si>
  <si>
    <t>TBX3_HUMAN.H11MO.0.C</t>
  </si>
  <si>
    <t>Q13207</t>
  </si>
  <si>
    <t>TBX2_HUMAN</t>
  </si>
  <si>
    <t>TBX2{6.5.4.0.1}</t>
  </si>
  <si>
    <t>hbMhWhChbAGGTGTGAnRWKnSMn</t>
  </si>
  <si>
    <t>TBX2</t>
  </si>
  <si>
    <t>TBX2_HUMAN.H11MO.0.D</t>
  </si>
  <si>
    <t>Q9UL17</t>
  </si>
  <si>
    <t>TBX21_HUMAN</t>
  </si>
  <si>
    <t>TBX21 (T-bet){6.5.2.0.3}</t>
  </si>
  <si>
    <t>TBrain-related factors{6.5.2}</t>
  </si>
  <si>
    <t>vdvddRSTGWKRn</t>
  </si>
  <si>
    <t>TBX21</t>
  </si>
  <si>
    <t>TBX21_HUMAN.H11MO.0.A</t>
  </si>
  <si>
    <t>Q9UMR3</t>
  </si>
  <si>
    <t>TBX20_HUMAN</t>
  </si>
  <si>
    <t>TBX20{6.5.3.0.5}</t>
  </si>
  <si>
    <t>TBX1-related factors{6.5.3}</t>
  </si>
  <si>
    <t>ddSTGnTGAMARvn</t>
  </si>
  <si>
    <t>TBX20</t>
  </si>
  <si>
    <t>TBX20_HUMAN.H11MO.0.D</t>
  </si>
  <si>
    <t>O43435</t>
  </si>
  <si>
    <t>TBX1_HUMAN</t>
  </si>
  <si>
    <t>TBX1{6.5.3.0.1}</t>
  </si>
  <si>
    <t>RKKbGGGhRGGGGYGGGhdd</t>
  </si>
  <si>
    <t>TBX1</t>
  </si>
  <si>
    <t>TBX1_HUMAN.H11MO.0.D</t>
  </si>
  <si>
    <t>O60806</t>
  </si>
  <si>
    <t>TBX19_HUMAN</t>
  </si>
  <si>
    <t>TBX19{6.5.1.0.2}</t>
  </si>
  <si>
    <t>Brachyury-related factors{6.5.1}</t>
  </si>
  <si>
    <t>dddTMRCAYnTAKGTGTKAhhd</t>
  </si>
  <si>
    <t>TBX19</t>
  </si>
  <si>
    <t>TBX19_HUMAN.H11MO.0.D</t>
  </si>
  <si>
    <t>Q96SF7</t>
  </si>
  <si>
    <t>TBX15_HUMAN</t>
  </si>
  <si>
    <t>TBX15 (TBX14){6.5.3.0.3}</t>
  </si>
  <si>
    <t>KKKKdKKKddRGGYGGGdd</t>
  </si>
  <si>
    <t>TBX15</t>
  </si>
  <si>
    <t>TBX15_HUMAN.H11MO.0.D</t>
  </si>
  <si>
    <t>Q16650</t>
  </si>
  <si>
    <t>TBR1_HUMAN</t>
  </si>
  <si>
    <t>TBR-1{6.5.2.0.1}</t>
  </si>
  <si>
    <t>vdAGGTGTGAWhd</t>
  </si>
  <si>
    <t>TBR1</t>
  </si>
  <si>
    <t>TBR1_HUMAN.H11MO.0.D</t>
  </si>
  <si>
    <t>P20226</t>
  </si>
  <si>
    <t>TBP_HUMAN</t>
  </si>
  <si>
    <t>TBP{8.1.1.0.1}</t>
  </si>
  <si>
    <t>TBP-related factors{8.1.1}</t>
  </si>
  <si>
    <t>MbATAWAWRS</t>
  </si>
  <si>
    <t>TBP</t>
  </si>
  <si>
    <t>TBP_HUMAN.H11MO.0.A</t>
  </si>
  <si>
    <t>P17542</t>
  </si>
  <si>
    <t>TAL1_HUMAN</t>
  </si>
  <si>
    <t>Tal / HEN-like factors{1.2.3.1}</t>
  </si>
  <si>
    <t>vvdvhRRCAGvTGbb</t>
  </si>
  <si>
    <t>TAL1</t>
  </si>
  <si>
    <t>TAL1_HUMAN.H11MO.1.A</t>
  </si>
  <si>
    <t>bKKbnnnnnvvWGATAASv</t>
  </si>
  <si>
    <t>TAL1_HUMAN.H11MO.0.A</t>
  </si>
  <si>
    <t>P21675</t>
  </si>
  <si>
    <t>TAF1_HUMAN</t>
  </si>
  <si>
    <t>TAF-1 (TAF-2A, TAF(II)250) [1]{4.1.3.0.5}</t>
  </si>
  <si>
    <t>RRRRhGGMRGhRSvvv</t>
  </si>
  <si>
    <t>TAF1</t>
  </si>
  <si>
    <t>TAF1_HUMAN.H11MO.0.A</t>
  </si>
  <si>
    <t>Q06330</t>
  </si>
  <si>
    <t>SUH_HUMAN</t>
  </si>
  <si>
    <t>M{6.1.4.1}</t>
  </si>
  <si>
    <t>CSL-related factors{6.1.4}</t>
  </si>
  <si>
    <t>vbbSWGRGAAv</t>
  </si>
  <si>
    <t>SUH_HUMAN.H11MO.0.A</t>
  </si>
  <si>
    <t>Q13285</t>
  </si>
  <si>
    <t>STF1_HUMAN</t>
  </si>
  <si>
    <t>FTZ-F1 (SF-1) (NR5A1){2.1.5.0.1}</t>
  </si>
  <si>
    <t>FTZ-F1-related receptors (NR5){2.1.5}</t>
  </si>
  <si>
    <t>bbYCAAGGYCW</t>
  </si>
  <si>
    <t>NR5A1</t>
  </si>
  <si>
    <t>STF1_HUMAN.H11MO.0.B</t>
  </si>
  <si>
    <t>P42226</t>
  </si>
  <si>
    <t>STAT6_HUMAN</t>
  </si>
  <si>
    <t>STAT6{6.2.1.0.7}</t>
  </si>
  <si>
    <t>STAT factors{6.2.1}</t>
  </si>
  <si>
    <t>TTCYbWRGAAv</t>
  </si>
  <si>
    <t>STAT6</t>
  </si>
  <si>
    <t>STAT6_HUMAN.H11MO.0.B</t>
  </si>
  <si>
    <t>Q14765</t>
  </si>
  <si>
    <t>STAT4_HUMAN</t>
  </si>
  <si>
    <t>STAT4{6.2.1.0.4}</t>
  </si>
  <si>
    <t>YTTCYYdKMAv</t>
  </si>
  <si>
    <t>STAT4</t>
  </si>
  <si>
    <t>STAT4_HUMAN.H11MO.0.A</t>
  </si>
  <si>
    <t>P40763</t>
  </si>
  <si>
    <t>STAT3_HUMAN</t>
  </si>
  <si>
    <t>STAT3{6.2.1.0.3}</t>
  </si>
  <si>
    <t>bvhTTCCCRKAA</t>
  </si>
  <si>
    <t>STAT3</t>
  </si>
  <si>
    <t>STAT3_HUMAN.H11MO.0.A</t>
  </si>
  <si>
    <t>P52630</t>
  </si>
  <si>
    <t>STAT2_HUMAN</t>
  </si>
  <si>
    <t>STAT2{6.2.1.0.2}</t>
  </si>
  <si>
    <t>dvRRAAhhGAAASYdRRRv</t>
  </si>
  <si>
    <t>STAT2</t>
  </si>
  <si>
    <t>STAT2_HUMAN.H11MO.0.A</t>
  </si>
  <si>
    <t>P42224</t>
  </si>
  <si>
    <t>STAT1_HUMAN</t>
  </si>
  <si>
    <t>STAT1{6.2.1.0.1}</t>
  </si>
  <si>
    <t>vRRRAAhnGAAAShdRRdn</t>
  </si>
  <si>
    <t>STAT1</t>
  </si>
  <si>
    <t>STAT1_HUMAN.H11MO.1.A</t>
  </si>
  <si>
    <t>hbhnYTTCCnRGAARhShb</t>
  </si>
  <si>
    <t>STAT1_HUMAN.H11MO.0.A</t>
  </si>
  <si>
    <t>P51692</t>
  </si>
  <si>
    <t>STA5B_HUMAN</t>
  </si>
  <si>
    <t>STAT5B{6.2.1.0.6}</t>
  </si>
  <si>
    <t>nTTCYTRGAAdh</t>
  </si>
  <si>
    <t>STAT5B</t>
  </si>
  <si>
    <t>STA5B_HUMAN.H11MO.0.A</t>
  </si>
  <si>
    <t>P42229</t>
  </si>
  <si>
    <t>STA5A_HUMAN</t>
  </si>
  <si>
    <t>STAT5A{6.2.1.0.5}</t>
  </si>
  <si>
    <t>TTCYARGAAd</t>
  </si>
  <si>
    <t>STAT5A</t>
  </si>
  <si>
    <t>STA5A_HUMAN.H11MO.0.A</t>
  </si>
  <si>
    <t>Q05066</t>
  </si>
  <si>
    <t>SRY_HUMAN</t>
  </si>
  <si>
    <t>Group A{4.1.1.1}</t>
  </si>
  <si>
    <t>SOX-related factors{4.1.1}</t>
  </si>
  <si>
    <t>bWTTGTWWh</t>
  </si>
  <si>
    <t>SRY</t>
  </si>
  <si>
    <t>SRY_HUMAN.H11MO.0.B</t>
  </si>
  <si>
    <t>P11831</t>
  </si>
  <si>
    <t>SRF_HUMAN</t>
  </si>
  <si>
    <t>SRF{5.1.2.0.1}</t>
  </si>
  <si>
    <t>Responders to external signals (SRF/RLM1){5.1.2}</t>
  </si>
  <si>
    <t>hhbCCWWWTWTGGbvddd</t>
  </si>
  <si>
    <t>SRF</t>
  </si>
  <si>
    <t>SRF_HUMAN.H11MO.0.A</t>
  </si>
  <si>
    <t>Q12772</t>
  </si>
  <si>
    <t>SRBP2_HUMAN</t>
  </si>
  <si>
    <t>SREBP factors{1.2.6.3}</t>
  </si>
  <si>
    <t>vvvWGGvSWGRnb</t>
  </si>
  <si>
    <t>SRBP2_HUMAN.H11MO.0.B</t>
  </si>
  <si>
    <t>P36956</t>
  </si>
  <si>
    <t>SRBP1_HUMAN</t>
  </si>
  <si>
    <t>dRKSRSGTGAb</t>
  </si>
  <si>
    <t>SREBF1</t>
  </si>
  <si>
    <t>SRBP1_HUMAN.H11MO.0.A</t>
  </si>
  <si>
    <t>Q9BXG8</t>
  </si>
  <si>
    <t>SPZ1_HUMAN</t>
  </si>
  <si>
    <t>nSRSKKTTMCMbhbGn</t>
  </si>
  <si>
    <t>SPZ1</t>
  </si>
  <si>
    <t>SPZ1_HUMAN.H11MO.0.D</t>
  </si>
  <si>
    <t>Q8N5J4</t>
  </si>
  <si>
    <t>SPIC_HUMAN</t>
  </si>
  <si>
    <t>Spi-like factors{3.5.2.5}</t>
  </si>
  <si>
    <t>Ets-related factors{3.5.2}</t>
  </si>
  <si>
    <t>dvddRWGKRdddd</t>
  </si>
  <si>
    <t>SPIC</t>
  </si>
  <si>
    <t>SPIC_HUMAN.H11MO.0.D</t>
  </si>
  <si>
    <t>Q01892</t>
  </si>
  <si>
    <t>SPIB_HUMAN</t>
  </si>
  <si>
    <t>vvRRWRRGGAAGTGRvd</t>
  </si>
  <si>
    <t>SPIB</t>
  </si>
  <si>
    <t>SPIB_HUMAN.H11MO.0.A</t>
  </si>
  <si>
    <t>P17947</t>
  </si>
  <si>
    <t>SPI1_HUMAN</t>
  </si>
  <si>
    <t>vvRRWRRGGAAGTGvvd</t>
  </si>
  <si>
    <t>SPI1</t>
  </si>
  <si>
    <t>SPI1_HUMAN.H11MO.0.A</t>
  </si>
  <si>
    <t>O95238</t>
  </si>
  <si>
    <t>SPDEF_HUMAN</t>
  </si>
  <si>
    <t>SPDEF-like factors{3.5.2.7}</t>
  </si>
  <si>
    <t>dWvCCGKATvWhvh</t>
  </si>
  <si>
    <t>SPDEF</t>
  </si>
  <si>
    <t>SPDEF_HUMAN.H11MO.0.D</t>
  </si>
  <si>
    <t>Q02446</t>
  </si>
  <si>
    <t>SP4_HUMAN</t>
  </si>
  <si>
    <t>Sp1-like factors{2.3.1.1}</t>
  </si>
  <si>
    <t>Three-zinc finger Kr√ºppel-related factors{2.3.1}</t>
  </si>
  <si>
    <t>RvRRRGGGMGGRGvnd</t>
  </si>
  <si>
    <t>SP4</t>
  </si>
  <si>
    <t>SP4_HUMAN.H11MO.1.A</t>
  </si>
  <si>
    <t>vvSvdRRRGGMGGRGMhdvv</t>
  </si>
  <si>
    <t>SP4_HUMAN.H11MO.0.A</t>
  </si>
  <si>
    <t>Q02447</t>
  </si>
  <si>
    <t>SP3_HUMAN</t>
  </si>
  <si>
    <t>vvvvvKGGGMGGRSvbdvvv</t>
  </si>
  <si>
    <t>SP3</t>
  </si>
  <si>
    <t>SP3_HUMAN.H11MO.0.B</t>
  </si>
  <si>
    <t>Q02086</t>
  </si>
  <si>
    <t>SP2_HUMAN</t>
  </si>
  <si>
    <t>dRRGGGCGGGRM</t>
  </si>
  <si>
    <t>SP2</t>
  </si>
  <si>
    <t>SP2_HUMAN.H11MO.1.B</t>
  </si>
  <si>
    <t>SvvvvRRRGGCGGRRSbnvvSv</t>
  </si>
  <si>
    <t>SP2_HUMAN.H11MO.0.A</t>
  </si>
  <si>
    <t>P08047</t>
  </si>
  <si>
    <t>SP1_HUMAN</t>
  </si>
  <si>
    <t>vvKGGGCGGGGSbd</t>
  </si>
  <si>
    <t>SP1</t>
  </si>
  <si>
    <t>SP1_HUMAN.H11MO.1.A</t>
  </si>
  <si>
    <t>nRGGGGCGGGGCSdSSvSSSvS</t>
  </si>
  <si>
    <t>SP1_HUMAN.H11MO.0.A</t>
  </si>
  <si>
    <t>P48436</t>
  </si>
  <si>
    <t>SOX9_HUMAN</t>
  </si>
  <si>
    <t>Group E{4.1.1.5}</t>
  </si>
  <si>
    <t>YSWTTGKYY</t>
  </si>
  <si>
    <t>SOX9</t>
  </si>
  <si>
    <t>SOX9_HUMAN.H11MO.1.B</t>
  </si>
  <si>
    <t>AAdRvnnbYWTTGTKY</t>
  </si>
  <si>
    <t>SOX9_HUMAN.H11MO.0.B</t>
  </si>
  <si>
    <t>P57073</t>
  </si>
  <si>
    <t>SOX8_HUMAN</t>
  </si>
  <si>
    <t>WvACTGhAATTSWYbh</t>
  </si>
  <si>
    <t>SOX8</t>
  </si>
  <si>
    <t>SOX8_HUMAN.H11MO.0.D</t>
  </si>
  <si>
    <t>Q9BT81</t>
  </si>
  <si>
    <t>SOX7_HUMAN</t>
  </si>
  <si>
    <t>Group F{4.1.1.6}</t>
  </si>
  <si>
    <t>RACAMTGhMATTGTYh</t>
  </si>
  <si>
    <t>SOX7</t>
  </si>
  <si>
    <t>SOX7_HUMAN.H11MO.0.D</t>
  </si>
  <si>
    <t>P35711</t>
  </si>
  <si>
    <t>SOX5_HUMAN</t>
  </si>
  <si>
    <t>Group D{4.1.1.4}</t>
  </si>
  <si>
    <t>bATTGTTh</t>
  </si>
  <si>
    <t>SOX5</t>
  </si>
  <si>
    <t>SOX5_HUMAN.H11MO.0.C</t>
  </si>
  <si>
    <t>Q06945</t>
  </si>
  <si>
    <t>SOX4_HUMAN</t>
  </si>
  <si>
    <t>Group C{4.1.1.3}</t>
  </si>
  <si>
    <t>bYCTTTGTYYbb</t>
  </si>
  <si>
    <t>SOX4_HUMAN.H11MO.0.B</t>
  </si>
  <si>
    <t>P41225</t>
  </si>
  <si>
    <t>SOX3_HUMAN</t>
  </si>
  <si>
    <t>Group B{4.1.1.2}</t>
  </si>
  <si>
    <t>bYCWTTGTbhb</t>
  </si>
  <si>
    <t>SOX3</t>
  </si>
  <si>
    <t>SOX3_HUMAN.H11MO.0.B</t>
  </si>
  <si>
    <t>P48431</t>
  </si>
  <si>
    <t>SOX2_HUMAN</t>
  </si>
  <si>
    <t>bYYWTTSTbhTKYhdW</t>
  </si>
  <si>
    <t>SOX2</t>
  </si>
  <si>
    <t>SOX2_HUMAN.H11MO.1.A</t>
  </si>
  <si>
    <t>bbYCTTTGTbhbb</t>
  </si>
  <si>
    <t>SOX2_HUMAN.H11MO.0.A</t>
  </si>
  <si>
    <t>Q9Y651</t>
  </si>
  <si>
    <t>SOX21_HUMAN</t>
  </si>
  <si>
    <t>dRWSAATGdYAKTSWb</t>
  </si>
  <si>
    <t>SOX21</t>
  </si>
  <si>
    <t>SOX21_HUMAN.H11MO.0.D</t>
  </si>
  <si>
    <t>O00570</t>
  </si>
  <si>
    <t>SOX1_HUMAN</t>
  </si>
  <si>
    <t>dRTSAATGKTATTCAK</t>
  </si>
  <si>
    <t>SOX1</t>
  </si>
  <si>
    <t>SOX1_HUMAN.H11MO.0.D</t>
  </si>
  <si>
    <t>P35713</t>
  </si>
  <si>
    <t>SOX18_HUMAN</t>
  </si>
  <si>
    <t>SMWhnMATTGTYbWnnYYC</t>
  </si>
  <si>
    <t>SOX18</t>
  </si>
  <si>
    <t>SOX18_HUMAN.H11MO.0.D</t>
  </si>
  <si>
    <t>Q9H6I2</t>
  </si>
  <si>
    <t>SOX17_HUMAN</t>
  </si>
  <si>
    <t>bCCATYKTbbb</t>
  </si>
  <si>
    <t>SOX17</t>
  </si>
  <si>
    <t>SOX17_HUMAN.H11MO.0.C</t>
  </si>
  <si>
    <t>O60248</t>
  </si>
  <si>
    <t>SOX15_HUMAN</t>
  </si>
  <si>
    <t>Group G{4.1.1.7}</t>
  </si>
  <si>
    <t>CWTTGTT</t>
  </si>
  <si>
    <t>SOX15</t>
  </si>
  <si>
    <t>SOX15_HUMAN.H11MO.0.D</t>
  </si>
  <si>
    <t>Q9UN79</t>
  </si>
  <si>
    <t>SOX13_HUMAN</t>
  </si>
  <si>
    <t>nATTGTKn</t>
  </si>
  <si>
    <t>SOX13</t>
  </si>
  <si>
    <t>SOX13_HUMAN.H11MO.0.D</t>
  </si>
  <si>
    <t>P35716</t>
  </si>
  <si>
    <t>SOX11_HUMAN</t>
  </si>
  <si>
    <t>RACAMTRhMATTGTYb</t>
  </si>
  <si>
    <t>SOX11</t>
  </si>
  <si>
    <t>SOX11_HUMAN.H11MO.0.D</t>
  </si>
  <si>
    <t>P56693</t>
  </si>
  <si>
    <t>SOX10_HUMAN</t>
  </si>
  <si>
    <t>bbbCTTTSTbYhh</t>
  </si>
  <si>
    <t>SOX10</t>
  </si>
  <si>
    <t>SOX10_HUMAN.H11MO.1.A</t>
  </si>
  <si>
    <t>vARdRvvnbYWTTGTb</t>
  </si>
  <si>
    <t>SOX10_HUMAN.H11MO.0.B</t>
  </si>
  <si>
    <t>O43623</t>
  </si>
  <si>
    <t>SNAI2_HUMAN</t>
  </si>
  <si>
    <t>Snail-like factors{2.3.3.2}</t>
  </si>
  <si>
    <t>dRCAGGTGYn</t>
  </si>
  <si>
    <t>SNAI2</t>
  </si>
  <si>
    <t>SNAI2_HUMAN.H11MO.0.A</t>
  </si>
  <si>
    <t>O95863</t>
  </si>
  <si>
    <t>SNAI1_HUMAN</t>
  </si>
  <si>
    <t>vCAGGTGb</t>
  </si>
  <si>
    <t>SNAI1</t>
  </si>
  <si>
    <t>SNAI1_HUMAN.H11MO.0.C</t>
  </si>
  <si>
    <t>O60264</t>
  </si>
  <si>
    <t>SMCA5_HUMAN</t>
  </si>
  <si>
    <t>SMARCA-like factors{3.5.1.5}</t>
  </si>
  <si>
    <t>Myb/SANT domain factors{3.5.1}</t>
  </si>
  <si>
    <t>GMvKnGAAWGSARWS</t>
  </si>
  <si>
    <t>SMARCA5</t>
  </si>
  <si>
    <t>SMCA5_HUMAN.H11MO.0.C</t>
  </si>
  <si>
    <t>P28370</t>
  </si>
  <si>
    <t>SMCA1_HUMAN</t>
  </si>
  <si>
    <t>vMWRGAAKMAWn</t>
  </si>
  <si>
    <t>SMCA1_HUMAN.H11MO.0.C</t>
  </si>
  <si>
    <t>Q13485</t>
  </si>
  <si>
    <t>SMAD4_HUMAN</t>
  </si>
  <si>
    <t>Co-activating Smads (Co-Smad){7.1.1.2}</t>
  </si>
  <si>
    <t>SMAD factors{7.1.1}</t>
  </si>
  <si>
    <t>vWGKCTSdCWSYh</t>
  </si>
  <si>
    <t>SMAD4</t>
  </si>
  <si>
    <t>SMAD4_HUMAN.H11MO.0.B</t>
  </si>
  <si>
    <t>P84022</t>
  </si>
  <si>
    <t>SMAD3_HUMAN</t>
  </si>
  <si>
    <t>Regulatory Smads (R-Smad){7.1.1.1}</t>
  </si>
  <si>
    <t>vbYTShCWSCWb</t>
  </si>
  <si>
    <t>SMAD3</t>
  </si>
  <si>
    <t>SMAD3_HUMAN.H11MO.0.B</t>
  </si>
  <si>
    <t>Q15796</t>
  </si>
  <si>
    <t>SMAD2_HUMAN</t>
  </si>
  <si>
    <t>WGKCTSnChCYb</t>
  </si>
  <si>
    <t>SMAD2</t>
  </si>
  <si>
    <t>SMAD2_HUMAN.H11MO.0.A</t>
  </si>
  <si>
    <t>Q15797</t>
  </si>
  <si>
    <t>SMAD1_HUMAN</t>
  </si>
  <si>
    <t>dGCCTSTCTGYM</t>
  </si>
  <si>
    <t>SMAD1</t>
  </si>
  <si>
    <t>SMAD1_HUMAN.H11MO.0.D</t>
  </si>
  <si>
    <t>Q9NPC8</t>
  </si>
  <si>
    <t>SIX2_HUMAN</t>
  </si>
  <si>
    <t>SIX1-like factors{3.1.6.1}</t>
  </si>
  <si>
    <t>HD-SINE factors{3.1.6}</t>
  </si>
  <si>
    <t>KGWAAYhhRAbMh</t>
  </si>
  <si>
    <t>SIX2</t>
  </si>
  <si>
    <t>SIX2_HUMAN.H11MO.0.A</t>
  </si>
  <si>
    <t>Q15475</t>
  </si>
  <si>
    <t>SIX1_HUMAN</t>
  </si>
  <si>
    <t>KGWAAYhKGAbMYb</t>
  </si>
  <si>
    <t>SIX1</t>
  </si>
  <si>
    <t>SIX1_HUMAN.H11MO.0.A</t>
  </si>
  <si>
    <t>O15266</t>
  </si>
  <si>
    <t>SHOX_HUMAN</t>
  </si>
  <si>
    <t>SHOX{3.1.3.25}</t>
  </si>
  <si>
    <t>bTAATTARbhhWWWWdd</t>
  </si>
  <si>
    <t>SHOX</t>
  </si>
  <si>
    <t>SHOX_HUMAN.H11MO.0.D</t>
  </si>
  <si>
    <t>O60902</t>
  </si>
  <si>
    <t>SHOX2_HUMAN</t>
  </si>
  <si>
    <t>SHOX2</t>
  </si>
  <si>
    <t>SHOX2_HUMAN.H11MO.0.D</t>
  </si>
  <si>
    <t>Q9NQ03</t>
  </si>
  <si>
    <t>SCRT2_HUMAN</t>
  </si>
  <si>
    <t>dhKCAACAGGTKb</t>
  </si>
  <si>
    <t>SCRT2</t>
  </si>
  <si>
    <t>SCRT2_HUMAN.H11MO.0.D</t>
  </si>
  <si>
    <t>Q9BWW7</t>
  </si>
  <si>
    <t>SCRT1_HUMAN</t>
  </si>
  <si>
    <t>KCAACAGGTKdbh</t>
  </si>
  <si>
    <t>SCRT1</t>
  </si>
  <si>
    <t>SCRT1_HUMAN.H11MO.0.D</t>
  </si>
  <si>
    <t>Q9UJQ4</t>
  </si>
  <si>
    <t>SALL4_HUMAN</t>
  </si>
  <si>
    <t>Sal-like factors{2.3.4.3}</t>
  </si>
  <si>
    <t>dvdGGGWGKG</t>
  </si>
  <si>
    <t>SALL4</t>
  </si>
  <si>
    <t>SALL4_HUMAN.H11MO.0.B</t>
  </si>
  <si>
    <t>Q9Y2V3</t>
  </si>
  <si>
    <t>RX_HUMAN</t>
  </si>
  <si>
    <t>RAX{3.1.3.22}</t>
  </si>
  <si>
    <t>hTAATTRvYhn</t>
  </si>
  <si>
    <t>RAX</t>
  </si>
  <si>
    <t>RX_HUMAN.H11MO.0.D</t>
  </si>
  <si>
    <t>P48443</t>
  </si>
  <si>
    <t>RXRG_HUMAN</t>
  </si>
  <si>
    <t>Retinoid X receptors (NR2B){2.1.3.1}</t>
  </si>
  <si>
    <t>RXR-related receptors (NR2){2.1.3}</t>
  </si>
  <si>
    <t>bGTCAAAGGTCAh</t>
  </si>
  <si>
    <t>RXRG</t>
  </si>
  <si>
    <t>RXRG_HUMAN.H11MO.0.B</t>
  </si>
  <si>
    <t>P28702</t>
  </si>
  <si>
    <t>RXRB_HUMAN</t>
  </si>
  <si>
    <t>WSAGGTCAbd</t>
  </si>
  <si>
    <t>RXRB</t>
  </si>
  <si>
    <t>RXRB_HUMAN.H11MO.0.C</t>
  </si>
  <si>
    <t>P19793</t>
  </si>
  <si>
    <t>RXRA_HUMAN</t>
  </si>
  <si>
    <t>vhRAGGTCAb</t>
  </si>
  <si>
    <t>RXRA</t>
  </si>
  <si>
    <t>RXRA_HUMAN.H11MO.1.A</t>
  </si>
  <si>
    <t>vdRdvddnvRRRGGKSAvdv</t>
  </si>
  <si>
    <t>RXRA_HUMAN.H11MO.0.A</t>
  </si>
  <si>
    <t>Q13761</t>
  </si>
  <si>
    <t>RUNX3_HUMAN</t>
  </si>
  <si>
    <t>Runx3 (PEBP2alphaC, CBF-alpha3, AML-2){6.4.1.0.3}</t>
  </si>
  <si>
    <t>Runt-related factors{6.4.1}</t>
  </si>
  <si>
    <t>bhTGTGGTYd</t>
  </si>
  <si>
    <t>RUNX3</t>
  </si>
  <si>
    <t>RUNX3_HUMAN.H11MO.0.A</t>
  </si>
  <si>
    <t>Q13950</t>
  </si>
  <si>
    <t>RUNX2_HUMAN</t>
  </si>
  <si>
    <t>Runx2 (PEBP2alphaA, CBF-alpha1){6.4.1.0.1}</t>
  </si>
  <si>
    <t>dbbbTGTGGYKKnb</t>
  </si>
  <si>
    <t>RUNX2</t>
  </si>
  <si>
    <t>RUNX2_HUMAN.H11MO.0.A</t>
  </si>
  <si>
    <t>Q01196</t>
  </si>
  <si>
    <t>RUNX1_HUMAN</t>
  </si>
  <si>
    <t>Runx1 (PEBP2alphaB, CBF-alpha2, AML-1){6.4.1.0.2}</t>
  </si>
  <si>
    <t>bhTGTGGTYWn</t>
  </si>
  <si>
    <t>RUNX1</t>
  </si>
  <si>
    <t>RUNX1_HUMAN.H11MO.0.A</t>
  </si>
  <si>
    <t>Q92766</t>
  </si>
  <si>
    <t>RREB1_HUMAN</t>
  </si>
  <si>
    <t>dbSKbdGKKGKTGbTKKGKGGd</t>
  </si>
  <si>
    <t>RREB1</t>
  </si>
  <si>
    <t>RREB1_HUMAN.H11MO.0.D</t>
  </si>
  <si>
    <t>P51449</t>
  </si>
  <si>
    <t>RORG_HUMAN</t>
  </si>
  <si>
    <t>ROR (NR1F){2.1.2.6}</t>
  </si>
  <si>
    <t>vdRWSTRRGKCA</t>
  </si>
  <si>
    <t>RORC</t>
  </si>
  <si>
    <t>RORG_HUMAN.H11MO.0.C</t>
  </si>
  <si>
    <t>P35398</t>
  </si>
  <si>
    <t>RORA_HUMAN</t>
  </si>
  <si>
    <t>vhbdRGGbCAvdR</t>
  </si>
  <si>
    <t>RORA</t>
  </si>
  <si>
    <t>RORA_HUMAN.H11MO.0.C</t>
  </si>
  <si>
    <t>Q8NHV9</t>
  </si>
  <si>
    <t>RHXF1_HUMAN</t>
  </si>
  <si>
    <t>RHOX{3.1.3.23}</t>
  </si>
  <si>
    <t>nvbGGAThWdv</t>
  </si>
  <si>
    <t>RHOXF1</t>
  </si>
  <si>
    <t>RHXF1_HUMAN.H11MO.0.D</t>
  </si>
  <si>
    <t>P48382</t>
  </si>
  <si>
    <t>RFX5_HUMAN</t>
  </si>
  <si>
    <t>RFX5{3.3.3.0.5}</t>
  </si>
  <si>
    <t>RFX-related factors{3.3.3}</t>
  </si>
  <si>
    <t>YWGTTdCYRKG</t>
  </si>
  <si>
    <t>RFX5</t>
  </si>
  <si>
    <t>RFX5_HUMAN.H11MO.1.A</t>
  </si>
  <si>
    <t>vbbvbbdGTYRCYRKGbvvv</t>
  </si>
  <si>
    <t>RFX5_HUMAN.H11MO.0.A</t>
  </si>
  <si>
    <t>Q33E94</t>
  </si>
  <si>
    <t>RFX4_HUMAN</t>
  </si>
  <si>
    <t>RFX4{3.3.3.0.4}</t>
  </si>
  <si>
    <t>bGTTGCCATGGhWAY</t>
  </si>
  <si>
    <t>RFX4</t>
  </si>
  <si>
    <t>RFX4_HUMAN.H11MO.0.D</t>
  </si>
  <si>
    <t>P48380</t>
  </si>
  <si>
    <t>RFX3_HUMAN</t>
  </si>
  <si>
    <t>RFX3{3.3.3.0.3}</t>
  </si>
  <si>
    <t>bGTTRCCATGGhRn</t>
  </si>
  <si>
    <t>RFX3</t>
  </si>
  <si>
    <t>RFX3_HUMAN.H11MO.0.B</t>
  </si>
  <si>
    <t>P48378</t>
  </si>
  <si>
    <t>RFX2_HUMAN</t>
  </si>
  <si>
    <t>RFX2{3.3.3.0.2}</t>
  </si>
  <si>
    <t>YbGTTGCCWKGG</t>
  </si>
  <si>
    <t>RFX2</t>
  </si>
  <si>
    <t>RFX2_HUMAN.H11MO.1.A</t>
  </si>
  <si>
    <t>YbGTTGCCWWGGvRACvv</t>
  </si>
  <si>
    <t>RFX2_HUMAN.H11MO.0.A</t>
  </si>
  <si>
    <t>P22670</t>
  </si>
  <si>
    <t>RFX1_HUMAN</t>
  </si>
  <si>
    <t>RFX1 (EF-C){3.3.3.0.1}</t>
  </si>
  <si>
    <t>bGTTGCCWdGR</t>
  </si>
  <si>
    <t>RFX1</t>
  </si>
  <si>
    <t>RFX1_HUMAN.H11MO.1.B</t>
  </si>
  <si>
    <t>bbbbSbGTTGCCWdGGvvMSvv</t>
  </si>
  <si>
    <t>RFX1_HUMAN.H11MO.0.B</t>
  </si>
  <si>
    <t>Q13127</t>
  </si>
  <si>
    <t>REST_HUMAN</t>
  </si>
  <si>
    <t>dTCAGSACCdhGGACAGMdShh</t>
  </si>
  <si>
    <t>REST</t>
  </si>
  <si>
    <t>REST_HUMAN.H11MO.0.A</t>
  </si>
  <si>
    <t>Q04864</t>
  </si>
  <si>
    <t>REL_HUMAN</t>
  </si>
  <si>
    <t>dvhdGGGRAWKbMSW</t>
  </si>
  <si>
    <t>REL</t>
  </si>
  <si>
    <t>REL_HUMAN.H11MO.0.B</t>
  </si>
  <si>
    <t>Q01201</t>
  </si>
  <si>
    <t>RELB_HUMAN</t>
  </si>
  <si>
    <t>vRGGGMTTTSMh</t>
  </si>
  <si>
    <t>RELB</t>
  </si>
  <si>
    <t>RELB_HUMAN.H11MO.0.C</t>
  </si>
  <si>
    <t>Q96IS3</t>
  </si>
  <si>
    <t>RAX2_HUMAN</t>
  </si>
  <si>
    <t>hTAATTRRhYhW</t>
  </si>
  <si>
    <t>RAX2</t>
  </si>
  <si>
    <t>RAX2_HUMAN.H11MO.0.D</t>
  </si>
  <si>
    <t>P13631</t>
  </si>
  <si>
    <t>RARG_HUMAN</t>
  </si>
  <si>
    <t>Retinoic acid receptors (NR1B){2.1.2.1}</t>
  </si>
  <si>
    <t>dddGbdbRvMnvRAGGTCAv</t>
  </si>
  <si>
    <t>RARG</t>
  </si>
  <si>
    <t>RARG_HUMAN.H11MO.2.D</t>
  </si>
  <si>
    <t>vAGGKCAn</t>
  </si>
  <si>
    <t>RARG_HUMAN.H11MO.1.B</t>
  </si>
  <si>
    <t>RRGTCAvvvhSvMMbddv</t>
  </si>
  <si>
    <t>RARG_HUMAN.H11MO.0.B</t>
  </si>
  <si>
    <t>P10826</t>
  </si>
  <si>
    <t>RARB_HUMAN</t>
  </si>
  <si>
    <t>vAGGTCAnvRv</t>
  </si>
  <si>
    <t>RARB</t>
  </si>
  <si>
    <t>RARB_HUMAN.H11MO.0.D</t>
  </si>
  <si>
    <t>P10276</t>
  </si>
  <si>
    <t>RARA_HUMAN</t>
  </si>
  <si>
    <t>RGKTSAnvvdvRSKKSR</t>
  </si>
  <si>
    <t>RARA</t>
  </si>
  <si>
    <t>RARA_HUMAN.H11MO.2.A</t>
  </si>
  <si>
    <t>vAGGKCAvvv</t>
  </si>
  <si>
    <t>RARA_HUMAN.H11MO.1.A</t>
  </si>
  <si>
    <t>vdddvdbbvdRAGKTCARRR</t>
  </si>
  <si>
    <t>RARA_HUMAN.H11MO.0.A</t>
  </si>
  <si>
    <t>Q00577</t>
  </si>
  <si>
    <t>PURA_HUMAN</t>
  </si>
  <si>
    <t>Pur-alpha (PURA, PUR1){0.0.5.0.1}</t>
  </si>
  <si>
    <t>PUR{0.0.5}</t>
  </si>
  <si>
    <t>RGWvKbKGnKGSMRKGK</t>
  </si>
  <si>
    <t>PURA</t>
  </si>
  <si>
    <t>PURA_HUMAN.H11MO.0.D</t>
  </si>
  <si>
    <t>Q7RTS3</t>
  </si>
  <si>
    <t>PTF1A_HUMAN</t>
  </si>
  <si>
    <t>RRCAGMTGK</t>
  </si>
  <si>
    <t>PTF1A</t>
  </si>
  <si>
    <t>PTF1A_HUMAN.H11MO.1.B</t>
  </si>
  <si>
    <t>vCAGCTGbbnbbbbYYhv</t>
  </si>
  <si>
    <t>PTF1A_HUMAN.H11MO.0.B</t>
  </si>
  <si>
    <t>Q99811</t>
  </si>
  <si>
    <t>PRRX2_HUMAN</t>
  </si>
  <si>
    <t>PRRX{3.1.3.21}</t>
  </si>
  <si>
    <t>hTAATTR</t>
  </si>
  <si>
    <t>PRRX2</t>
  </si>
  <si>
    <t>PRRX2_HUMAN.H11MO.0.C</t>
  </si>
  <si>
    <t>P54821</t>
  </si>
  <si>
    <t>PRRX1_HUMAN</t>
  </si>
  <si>
    <t>TAATCTG</t>
  </si>
  <si>
    <t>PRRX1</t>
  </si>
  <si>
    <t>PRRX1_HUMAN.H11MO.0.D</t>
  </si>
  <si>
    <t>Q92786</t>
  </si>
  <si>
    <t>PROX1_HUMAN</t>
  </si>
  <si>
    <t>PROX-1{3.1.7.0.1}</t>
  </si>
  <si>
    <t>HD-PROS factors{3.1.7}</t>
  </si>
  <si>
    <t>bdbbRRGRhGKSdKRRd</t>
  </si>
  <si>
    <t>PROX1</t>
  </si>
  <si>
    <t>PROX1_HUMAN.H11MO.0.D</t>
  </si>
  <si>
    <t>O75360</t>
  </si>
  <si>
    <t>PROP1_HUMAN</t>
  </si>
  <si>
    <t>PROP{3.1.3.20}</t>
  </si>
  <si>
    <t>WAATKGvRTTW</t>
  </si>
  <si>
    <t>PROP1</t>
  </si>
  <si>
    <t>PROP1_HUMAN.H11MO.0.D</t>
  </si>
  <si>
    <t>P06401</t>
  </si>
  <si>
    <t>PRGR_HUMAN</t>
  </si>
  <si>
    <t>GR-like receptors (NR3C){2.1.1.1}</t>
  </si>
  <si>
    <t>Steroid hormone receptors (NR3){2.1.1}</t>
  </si>
  <si>
    <t>RGvACARvv</t>
  </si>
  <si>
    <t>PGR</t>
  </si>
  <si>
    <t>PRGR_HUMAN.H11MO.1.A</t>
  </si>
  <si>
    <t>RGvACWYYbTGTdCYb</t>
  </si>
  <si>
    <t>PRGR_HUMAN.H11MO.0.A</t>
  </si>
  <si>
    <t>Q9NQX0</t>
  </si>
  <si>
    <t>PRDM6_HUMAN</t>
  </si>
  <si>
    <t>vdvRRGAAAMMhv</t>
  </si>
  <si>
    <t>PRDM6</t>
  </si>
  <si>
    <t>PRDM6_HUMAN.H11MO.0.C</t>
  </si>
  <si>
    <t>Q9UKN5</t>
  </si>
  <si>
    <t>PRDM4_HUMAN</t>
  </si>
  <si>
    <t>bbGGGGRGMCTTGAAA</t>
  </si>
  <si>
    <t>PRDM4</t>
  </si>
  <si>
    <t>PRDM4_HUMAN.H11MO.0.D</t>
  </si>
  <si>
    <t>O75626</t>
  </si>
  <si>
    <t>PRDM1_HUMAN</t>
  </si>
  <si>
    <t>PRDM1-like factors{2.3.3.12}</t>
  </si>
  <si>
    <t>RRRAGdGAAAGKdv</t>
  </si>
  <si>
    <t>PRDM1</t>
  </si>
  <si>
    <t>PRDM1_HUMAN.H11MO.0.A</t>
  </si>
  <si>
    <t>Q9GZV8</t>
  </si>
  <si>
    <t>PRD14_HUMAN</t>
  </si>
  <si>
    <t>ddSWTAGRGWMShn</t>
  </si>
  <si>
    <t>PRDM14</t>
  </si>
  <si>
    <t>PRD14_HUMAN.H11MO.0.A</t>
  </si>
  <si>
    <t>P37231</t>
  </si>
  <si>
    <t>PPARG_HUMAN</t>
  </si>
  <si>
    <t>PPAR (NR1C){2.1.2.5}</t>
  </si>
  <si>
    <t>SARAGKKhA</t>
  </si>
  <si>
    <t>PPARG</t>
  </si>
  <si>
    <t>PPARG_HUMAN.H11MO.1.A</t>
  </si>
  <si>
    <t>vWbbRGGbSARAGGKSR</t>
  </si>
  <si>
    <t>PPARG_HUMAN.H11MO.0.A</t>
  </si>
  <si>
    <t>Q03181</t>
  </si>
  <si>
    <t>PPARD_HUMAN</t>
  </si>
  <si>
    <t>YAGKnnAMAGGWYA</t>
  </si>
  <si>
    <t>PPARD</t>
  </si>
  <si>
    <t>PPARD_HUMAN.H11MO.0.D</t>
  </si>
  <si>
    <t>Q07869</t>
  </si>
  <si>
    <t>PPARA_HUMAN</t>
  </si>
  <si>
    <t>MRAGGKCAd</t>
  </si>
  <si>
    <t>PPARA</t>
  </si>
  <si>
    <t>PPARA_HUMAN.H11MO.1.B</t>
  </si>
  <si>
    <t>hWbKRGGbbARAGGKYR</t>
  </si>
  <si>
    <t>PPARA_HUMAN.H11MO.0.B</t>
  </si>
  <si>
    <t>P78424</t>
  </si>
  <si>
    <t>PO6F2_HUMAN</t>
  </si>
  <si>
    <t>POU6 (Brn-5-like factors){3.1.10.6}</t>
  </si>
  <si>
    <t>POU domain factors{3.1.10}</t>
  </si>
  <si>
    <t>dhTAATTAGbh</t>
  </si>
  <si>
    <t>POU6F2</t>
  </si>
  <si>
    <t>PO6F2_HUMAN.H11MO.0.D</t>
  </si>
  <si>
    <t>Q14863</t>
  </si>
  <si>
    <t>PO6F1_HUMAN</t>
  </si>
  <si>
    <t>nATAATTTATGCR</t>
  </si>
  <si>
    <t>POU6F1</t>
  </si>
  <si>
    <t>PO6F1_HUMAN.H11MO.0.D</t>
  </si>
  <si>
    <t>Q01860</t>
  </si>
  <si>
    <t>PO5F1_HUMAN</t>
  </si>
  <si>
    <t>POU5 (Oct-3/4-like factors){3.1.10.5}</t>
  </si>
  <si>
    <t>dnATGCAvWb</t>
  </si>
  <si>
    <t>POU5F1</t>
  </si>
  <si>
    <t>PO5F1_HUMAN.H11MO.1.A</t>
  </si>
  <si>
    <t>bYWTTvWhATGYARAh</t>
  </si>
  <si>
    <t>PO5F1_HUMAN.H11MO.0.A</t>
  </si>
  <si>
    <t>Q15319</t>
  </si>
  <si>
    <t>PO4F3_HUMAN</t>
  </si>
  <si>
    <t>POU4 (Brn-3-like factors){3.1.10.4}</t>
  </si>
  <si>
    <t>WhATTAATTATTYAh</t>
  </si>
  <si>
    <t>POU4F3</t>
  </si>
  <si>
    <t>PO4F3_HUMAN.H11MO.0.D</t>
  </si>
  <si>
    <t>Q12837</t>
  </si>
  <si>
    <t>PO4F2_HUMAN</t>
  </si>
  <si>
    <t>YvTTAATGAKhnn</t>
  </si>
  <si>
    <t>POU4F2</t>
  </si>
  <si>
    <t>PO4F2_HUMAN.H11MO.0.D</t>
  </si>
  <si>
    <t>Q01851</t>
  </si>
  <si>
    <t>PO4F1_HUMAN</t>
  </si>
  <si>
    <t>hATWAATTATTYAd</t>
  </si>
  <si>
    <t>POU4F1</t>
  </si>
  <si>
    <t>PO4F1_HUMAN.H11MO.0.D</t>
  </si>
  <si>
    <t>P49335</t>
  </si>
  <si>
    <t>PO3F4_HUMAN</t>
  </si>
  <si>
    <t>POU3 (Oct-6-like factors){3.1.10.3}</t>
  </si>
  <si>
    <t>dhWTWWGCATAAWYhdd</t>
  </si>
  <si>
    <t>POU3F4</t>
  </si>
  <si>
    <t>PO3F4_HUMAN.H11MO.0.D</t>
  </si>
  <si>
    <t>P20264</t>
  </si>
  <si>
    <t>PO3F3_HUMAN</t>
  </si>
  <si>
    <t>hhWWWWWATKYWWWWdn</t>
  </si>
  <si>
    <t>POU3F3</t>
  </si>
  <si>
    <t>PO3F3_HUMAN.H11MO.0.D</t>
  </si>
  <si>
    <t>P20265</t>
  </si>
  <si>
    <t>PO3F2_HUMAN</t>
  </si>
  <si>
    <t>YhCATKMMWWWbYMWdv</t>
  </si>
  <si>
    <t>POU3F2</t>
  </si>
  <si>
    <t>PO3F2_HUMAN.H11MO.0.A</t>
  </si>
  <si>
    <t>Q03052</t>
  </si>
  <si>
    <t>PO3F1_HUMAN</t>
  </si>
  <si>
    <t>vRTKSTWATGCWWd</t>
  </si>
  <si>
    <t>POU3F1</t>
  </si>
  <si>
    <t>PO3F1_HUMAN.H11MO.0.C</t>
  </si>
  <si>
    <t>Q9UKI9</t>
  </si>
  <si>
    <t>PO2F3_HUMAN</t>
  </si>
  <si>
    <t>POU2 (Oct-1/2-like factors){3.1.10.2}</t>
  </si>
  <si>
    <t>dWYAYGCWWRWdhd</t>
  </si>
  <si>
    <t>POU2F3</t>
  </si>
  <si>
    <t>PO2F3_HUMAN.H11MO.0.D</t>
  </si>
  <si>
    <t>P09086</t>
  </si>
  <si>
    <t>PO2F2_HUMAN</t>
  </si>
  <si>
    <t>dhATGCAWAKd</t>
  </si>
  <si>
    <t>POU2F2</t>
  </si>
  <si>
    <t>PO2F2_HUMAN.H11MO.0.A</t>
  </si>
  <si>
    <t>P14859</t>
  </si>
  <si>
    <t>PO2F1_HUMAN</t>
  </si>
  <si>
    <t>RnKbvhATGSAAWhRh</t>
  </si>
  <si>
    <t>POU2F1</t>
  </si>
  <si>
    <t>PO2F1_HUMAN.H11MO.0.C</t>
  </si>
  <si>
    <t>Q9UM63</t>
  </si>
  <si>
    <t>PLAL1_HUMAN</t>
  </si>
  <si>
    <t>PLAG factors{2.3.3.25}</t>
  </si>
  <si>
    <t>vRGGGGGCCY</t>
  </si>
  <si>
    <t>PLAGL1</t>
  </si>
  <si>
    <t>PLAL1_HUMAN.H11MO.0.D</t>
  </si>
  <si>
    <t>Q6DJT9</t>
  </si>
  <si>
    <t>PLAG1_HUMAN</t>
  </si>
  <si>
    <t>RGGGGSMhndRdMGGGK</t>
  </si>
  <si>
    <t>PLAG1</t>
  </si>
  <si>
    <t>PLAG1_HUMAN.H11MO.0.D</t>
  </si>
  <si>
    <t>P55347</t>
  </si>
  <si>
    <t>PKNX1_HUMAN</t>
  </si>
  <si>
    <t>PKNOX{3.1.4.5}</t>
  </si>
  <si>
    <t>WGAbKGRCRSv</t>
  </si>
  <si>
    <t>PKNOX1</t>
  </si>
  <si>
    <t>PKNX1_HUMAN.H11MO.0.B</t>
  </si>
  <si>
    <t>O75364</t>
  </si>
  <si>
    <t>PITX3_HUMAN</t>
  </si>
  <si>
    <t>PITX{3.1.3.19}</t>
  </si>
  <si>
    <t>dddRdWWhvdvGGATTAd</t>
  </si>
  <si>
    <t>PITX3</t>
  </si>
  <si>
    <t>PITX3_HUMAN.H11MO.0.D</t>
  </si>
  <si>
    <t>Q99697</t>
  </si>
  <si>
    <t>PITX2_HUMAN</t>
  </si>
  <si>
    <t>YKGGATTWvh</t>
  </si>
  <si>
    <t>PITX2</t>
  </si>
  <si>
    <t>PITX2_HUMAN.H11MO.0.D</t>
  </si>
  <si>
    <t>P78337</t>
  </si>
  <si>
    <t>PITX1_HUMAN</t>
  </si>
  <si>
    <t>vRGGMTTWd</t>
  </si>
  <si>
    <t>PITX1</t>
  </si>
  <si>
    <t>PITX1_HUMAN.H11MO.0.D</t>
  </si>
  <si>
    <t>P28069</t>
  </si>
  <si>
    <t>PIT1_HUMAN</t>
  </si>
  <si>
    <t>POU1 (Pit-1-like factors){3.1.10.1}</t>
  </si>
  <si>
    <t>bWMWTGvAWATWh</t>
  </si>
  <si>
    <t>POU1F1</t>
  </si>
  <si>
    <t>PIT1_HUMAN.H11MO.0.C</t>
  </si>
  <si>
    <t>Q99453</t>
  </si>
  <si>
    <t>PHX2B_HUMAN</t>
  </si>
  <si>
    <t>PHOX{3.1.3.18}</t>
  </si>
  <si>
    <t>WAATYTAATTA</t>
  </si>
  <si>
    <t>PHOX2B</t>
  </si>
  <si>
    <t>PHX2B_HUMAN.H11MO.0.D</t>
  </si>
  <si>
    <t>O14813</t>
  </si>
  <si>
    <t>PHX2A_HUMAN</t>
  </si>
  <si>
    <t>PHOX2A</t>
  </si>
  <si>
    <t>PHX2A_HUMAN.H11MO.0.D</t>
  </si>
  <si>
    <t>Q13951</t>
  </si>
  <si>
    <t>PEBB_HUMAN</t>
  </si>
  <si>
    <t>YbTGTGGTYdb</t>
  </si>
  <si>
    <t>CBFB</t>
  </si>
  <si>
    <t>PEBB_HUMAN.H11MO.0.C</t>
  </si>
  <si>
    <t>P52945</t>
  </si>
  <si>
    <t>PDX1_HUMAN</t>
  </si>
  <si>
    <t>PDX{3.1.1.15}</t>
  </si>
  <si>
    <t>HOX-related factors{3.1.1}</t>
  </si>
  <si>
    <t>dYTAATKRb</t>
  </si>
  <si>
    <t>PDX1</t>
  </si>
  <si>
    <t>PDX1_HUMAN.H11MO.1.A</t>
  </si>
  <si>
    <t>TGAYWRAKK</t>
  </si>
  <si>
    <t>PDX1_HUMAN.H11MO.0.A</t>
  </si>
  <si>
    <t>P40426</t>
  </si>
  <si>
    <t>PBX3_HUMAN</t>
  </si>
  <si>
    <t>PBX{3.1.4.4}</t>
  </si>
  <si>
    <t>YSAKTGGCh</t>
  </si>
  <si>
    <t>PBX3</t>
  </si>
  <si>
    <t>PBX3_HUMAN.H11MO.1.A</t>
  </si>
  <si>
    <t>WGAbdGRCRKb</t>
  </si>
  <si>
    <t>PBX3_HUMAN.H11MO.0.A</t>
  </si>
  <si>
    <t>P40425</t>
  </si>
  <si>
    <t>PBX2_HUMAN</t>
  </si>
  <si>
    <t>KvMhKTGATTGWWKb</t>
  </si>
  <si>
    <t>PBX2</t>
  </si>
  <si>
    <t>PBX2_HUMAN.H11MO.0.C</t>
  </si>
  <si>
    <t>P40424</t>
  </si>
  <si>
    <t>PBX1_HUMAN</t>
  </si>
  <si>
    <t>ddhWWGATKGATbdb</t>
  </si>
  <si>
    <t>PBX1</t>
  </si>
  <si>
    <t>PBX1_HUMAN.H11MO.1.C</t>
  </si>
  <si>
    <t>dGAbKGACRR</t>
  </si>
  <si>
    <t>PBX1_HUMAN.H11MO.0.A</t>
  </si>
  <si>
    <t>Q06710</t>
  </si>
  <si>
    <t>PAX8_HUMAN</t>
  </si>
  <si>
    <t>PAX-2-like factors (partial homeobox){3.2.2.2}</t>
  </si>
  <si>
    <t>Paired domain only{3.2.2}</t>
  </si>
  <si>
    <t>bYvAYYSRvSYRKd</t>
  </si>
  <si>
    <t>PAX8</t>
  </si>
  <si>
    <t>PAX8_HUMAN.H11MO.0.D</t>
  </si>
  <si>
    <t>P23759</t>
  </si>
  <si>
    <t>PAX7_HUMAN</t>
  </si>
  <si>
    <t>PAX-3/7{3.2.1.1}</t>
  </si>
  <si>
    <t>Paired plus homeo domain{3.2.1}</t>
  </si>
  <si>
    <t>TAATYGATTAd</t>
  </si>
  <si>
    <t>PAX7</t>
  </si>
  <si>
    <t>PAX7_HUMAN.H11MO.0.D</t>
  </si>
  <si>
    <t>P26367</t>
  </si>
  <si>
    <t>PAX6_HUMAN</t>
  </si>
  <si>
    <t>PAX-4/6{3.2.1.2}</t>
  </si>
  <si>
    <t>WYMYRCWTSRnT</t>
  </si>
  <si>
    <t>PAX6</t>
  </si>
  <si>
    <t>PAX6_HUMAN.H11MO.0.C</t>
  </si>
  <si>
    <t>Q02548</t>
  </si>
  <si>
    <t>PAX5_HUMAN</t>
  </si>
  <si>
    <t>vbvdGdKCARSvRRSCRdGAC</t>
  </si>
  <si>
    <t>PAX5</t>
  </si>
  <si>
    <t>PAX5_HUMAN.H11MO.0.A</t>
  </si>
  <si>
    <t>O43316</t>
  </si>
  <si>
    <t>PAX4_HUMAN</t>
  </si>
  <si>
    <t>hdhhTAATKMdh</t>
  </si>
  <si>
    <t>PAX4</t>
  </si>
  <si>
    <t>PAX4_HUMAN.H11MO.0.D</t>
  </si>
  <si>
    <t>P23760</t>
  </si>
  <si>
    <t>PAX3_HUMAN</t>
  </si>
  <si>
    <t>vhTAATCGATTAh</t>
  </si>
  <si>
    <t>PAX3</t>
  </si>
  <si>
    <t>PAX3_HUMAN.H11MO.0.D</t>
  </si>
  <si>
    <t>Q02962</t>
  </si>
  <si>
    <t>PAX2_HUMAN</t>
  </si>
  <si>
    <t>vhbnvdTSAhRvdYGAYW</t>
  </si>
  <si>
    <t>PAX2</t>
  </si>
  <si>
    <t>PAX2_HUMAN.H11MO.0.D</t>
  </si>
  <si>
    <t>P15863</t>
  </si>
  <si>
    <t>PAX1_HUMAN</t>
  </si>
  <si>
    <t>PAX-1/9 (no homeo remnant){3.2.2.1}</t>
  </si>
  <si>
    <t>hbGTCACGCWTSAnTKv</t>
  </si>
  <si>
    <t>PAX1</t>
  </si>
  <si>
    <t>PAX1_HUMAN.H11MO.0.D</t>
  </si>
  <si>
    <t>Q9HBE1</t>
  </si>
  <si>
    <t>PATZ1_HUMAN</t>
  </si>
  <si>
    <t>dGGGAGRRG</t>
  </si>
  <si>
    <t>PATZ1</t>
  </si>
  <si>
    <t>PATZ1_HUMAN.H11MO.1.C</t>
  </si>
  <si>
    <t>dKRGvRRRGRMKSvRvndRvRb</t>
  </si>
  <si>
    <t>PATZ1_HUMAN.H11MO.0.C</t>
  </si>
  <si>
    <t>O15350</t>
  </si>
  <si>
    <t>P73_HUMAN</t>
  </si>
  <si>
    <t>p73{6.3.1.0.3}</t>
  </si>
  <si>
    <t>p53-related factors{6.3.1}</t>
  </si>
  <si>
    <t>vdRCWWGYCYRR</t>
  </si>
  <si>
    <t>TP73</t>
  </si>
  <si>
    <t>P73_HUMAN.H11MO.1.A</t>
  </si>
  <si>
    <t>dddCWWGYYMMdRCWdGYh</t>
  </si>
  <si>
    <t>P73_HUMAN.H11MO.0.A</t>
  </si>
  <si>
    <t>Q9H3D4</t>
  </si>
  <si>
    <t>P63_HUMAN</t>
  </si>
  <si>
    <t>p63{6.3.1.0.2}</t>
  </si>
  <si>
    <t>vdRCMWGYCWR</t>
  </si>
  <si>
    <t>TP63</t>
  </si>
  <si>
    <t>P63_HUMAN.H11MO.1.A</t>
  </si>
  <si>
    <t>dRCRWGYhCWRRCWKGYhb</t>
  </si>
  <si>
    <t>P63_HUMAN.H11MO.0.A</t>
  </si>
  <si>
    <t>Q06416</t>
  </si>
  <si>
    <t>P5F1B_HUMAN</t>
  </si>
  <si>
    <t>dvWTTTGCATAWKYWd</t>
  </si>
  <si>
    <t>POU5F1B</t>
  </si>
  <si>
    <t>P5F1B_HUMAN.H11MO.0.D</t>
  </si>
  <si>
    <t>P04637</t>
  </si>
  <si>
    <t>P53_HUMAN</t>
  </si>
  <si>
    <t>p53{6.3.1.0.1}</t>
  </si>
  <si>
    <t>dRRCATGYCYRKR</t>
  </si>
  <si>
    <t>TP53</t>
  </si>
  <si>
    <t>P53_HUMAN.H11MO.1.A</t>
  </si>
  <si>
    <t>dRRCWWGYYCWRRCATGYYh</t>
  </si>
  <si>
    <t>P53_HUMAN.H11MO.0.A</t>
  </si>
  <si>
    <t>Q15072</t>
  </si>
  <si>
    <t>OZF_HUMAN</t>
  </si>
  <si>
    <t>TTTTYATGGCTGMATARTATTCCA</t>
  </si>
  <si>
    <t>ZNF146</t>
  </si>
  <si>
    <t>OZF_HUMAN.H11MO.0.C</t>
  </si>
  <si>
    <t>Q9BRP0</t>
  </si>
  <si>
    <t>OVOL2_HUMAN</t>
  </si>
  <si>
    <t>OVOL-factors{2.3.3.17}</t>
  </si>
  <si>
    <t>dTAACGGd</t>
  </si>
  <si>
    <t>OVOL2</t>
  </si>
  <si>
    <t>OVOL2_HUMAN.H11MO.0.D</t>
  </si>
  <si>
    <t>O14753</t>
  </si>
  <si>
    <t>OVOL1_HUMAN</t>
  </si>
  <si>
    <t>KGTAACKGT</t>
  </si>
  <si>
    <t>OVOL1</t>
  </si>
  <si>
    <t>OVOL1_HUMAN.H11MO.0.C</t>
  </si>
  <si>
    <t>P32243</t>
  </si>
  <si>
    <t>OTX2_HUMAN</t>
  </si>
  <si>
    <t>OTX{3.1.3.17}</t>
  </si>
  <si>
    <t>ddRGGATTAdv</t>
  </si>
  <si>
    <t>OTX2</t>
  </si>
  <si>
    <t>OTX2_HUMAN.H11MO.0.A</t>
  </si>
  <si>
    <t>P32242</t>
  </si>
  <si>
    <t>OTX1_HUMAN</t>
  </si>
  <si>
    <t>nGGATTAn</t>
  </si>
  <si>
    <t>OTX1</t>
  </si>
  <si>
    <t>OTX1_HUMAN.H11MO.0.D</t>
  </si>
  <si>
    <t>Q8N2R0</t>
  </si>
  <si>
    <t>OSR2_HUMAN</t>
  </si>
  <si>
    <t>nbhbYWGCTnCTShdb</t>
  </si>
  <si>
    <t>OSR2</t>
  </si>
  <si>
    <t>OSR2_HUMAN.H11MO.0.C</t>
  </si>
  <si>
    <t>O60422</t>
  </si>
  <si>
    <t>ONEC3_HUMAN</t>
  </si>
  <si>
    <t>ONECUT{3.1.9.1}</t>
  </si>
  <si>
    <t>HD-CUT factors{3.1.9}</t>
  </si>
  <si>
    <t>dWWbGATTTTTb</t>
  </si>
  <si>
    <t>ONECUT3</t>
  </si>
  <si>
    <t>ONEC3_HUMAN.H11MO.0.D</t>
  </si>
  <si>
    <t>O95948</t>
  </si>
  <si>
    <t>ONEC2_HUMAN</t>
  </si>
  <si>
    <t>RKvhYdTbATKGATTWTWTTW</t>
  </si>
  <si>
    <t>ONECUT2</t>
  </si>
  <si>
    <t>ONEC2_HUMAN.H11MO.0.D</t>
  </si>
  <si>
    <t>Q7RTU3</t>
  </si>
  <si>
    <t>OLIG3_HUMAN</t>
  </si>
  <si>
    <t>Neurogenin / Atonal-like factors{1.2.3.4}</t>
  </si>
  <si>
    <t>RMCATATGKTn</t>
  </si>
  <si>
    <t>OLIG3</t>
  </si>
  <si>
    <t>OLIG3_HUMAN.H11MO.0.D</t>
  </si>
  <si>
    <t>Q13516</t>
  </si>
  <si>
    <t>OLIG2_HUMAN</t>
  </si>
  <si>
    <t>hMWKMTGYYb</t>
  </si>
  <si>
    <t>OLIG2</t>
  </si>
  <si>
    <t>OLIG2_HUMAN.H11MO.1.B</t>
  </si>
  <si>
    <t>MCAKCTGYYbbbhdbhhb</t>
  </si>
  <si>
    <t>OLIG2_HUMAN.H11MO.0.B</t>
  </si>
  <si>
    <t>Q8TAK6</t>
  </si>
  <si>
    <t>OLIG1_HUMAN</t>
  </si>
  <si>
    <t>AMCATATGTTTWbb</t>
  </si>
  <si>
    <t>OLIG1</t>
  </si>
  <si>
    <t>OLIG1_HUMAN.H11MO.0.D</t>
  </si>
  <si>
    <t>P54845</t>
  </si>
  <si>
    <t>NRL_HUMAN</t>
  </si>
  <si>
    <t>Large Maf factors{1.1.3.1}</t>
  </si>
  <si>
    <t>Maf-related factors{1.1.3}</t>
  </si>
  <si>
    <t>YGCTGAYdhdd</t>
  </si>
  <si>
    <t>NRL</t>
  </si>
  <si>
    <t>NRL_HUMAN.H11MO.0.D</t>
  </si>
  <si>
    <t>Q16656</t>
  </si>
  <si>
    <t>NRF1_HUMAN</t>
  </si>
  <si>
    <t>NRF-1 (alpha-pal){0.0.6.0.1}</t>
  </si>
  <si>
    <t>NRF{0.0.6}</t>
  </si>
  <si>
    <t>bdSYGCGCMKGCGCvdv</t>
  </si>
  <si>
    <t>NRF1_HUMAN.H11MO.0.A</t>
  </si>
  <si>
    <t>Q15406</t>
  </si>
  <si>
    <t>NR6A1_HUMAN</t>
  </si>
  <si>
    <t>GCNF  (NR6A1){2.1.6.0.1}</t>
  </si>
  <si>
    <t>GCNF-related receptors (NR6){2.1.6}</t>
  </si>
  <si>
    <t>RAGKTCAAGKTCA</t>
  </si>
  <si>
    <t>NR6A1</t>
  </si>
  <si>
    <t>NR6A1_HUMAN.H11MO.0.B</t>
  </si>
  <si>
    <t>O00482</t>
  </si>
  <si>
    <t>NR5A2_HUMAN</t>
  </si>
  <si>
    <t>LRH-1 (NR5A2){2.1.5.0.2}</t>
  </si>
  <si>
    <t>dbYCAAGGhCR</t>
  </si>
  <si>
    <t>NR5A2</t>
  </si>
  <si>
    <t>NR5A2_HUMAN.H11MO.0.B</t>
  </si>
  <si>
    <t>Q92570</t>
  </si>
  <si>
    <t>NR4A3_HUMAN</t>
  </si>
  <si>
    <t>NOR1  (NR4A3){2.1.4.0.3}</t>
  </si>
  <si>
    <t>NGFI-B-related receptors (NR4){2.1.4}</t>
  </si>
  <si>
    <t>CAAAGGTCAS</t>
  </si>
  <si>
    <t>NR4A3</t>
  </si>
  <si>
    <t>NR4A3_HUMAN.H11MO.0.D</t>
  </si>
  <si>
    <t>P43354</t>
  </si>
  <si>
    <t>NR4A2_HUMAN</t>
  </si>
  <si>
    <t>NURR1  (NR4A2){2.1.4.0.2}</t>
  </si>
  <si>
    <t>RAAGGTCAv</t>
  </si>
  <si>
    <t>NR4A2</t>
  </si>
  <si>
    <t>NR4A2_HUMAN.H11MO.0.C</t>
  </si>
  <si>
    <t>P22736</t>
  </si>
  <si>
    <t>NR4A1_HUMAN</t>
  </si>
  <si>
    <t>NGFI-B  (NR4A1){2.1.4.0.1}</t>
  </si>
  <si>
    <t>AAAKKbYAn</t>
  </si>
  <si>
    <t>NR4A1</t>
  </si>
  <si>
    <t>NR4A1_HUMAN.H11MO.0.A</t>
  </si>
  <si>
    <t>P10588</t>
  </si>
  <si>
    <t>NR2F6_HUMAN</t>
  </si>
  <si>
    <t>COUP-like receptors (NR2F){2.1.3.5}</t>
  </si>
  <si>
    <t>RGSWMAAAGdnSAnnKdR</t>
  </si>
  <si>
    <t>NR2F6</t>
  </si>
  <si>
    <t>NR2F6_HUMAN.H11MO.0.D</t>
  </si>
  <si>
    <t>Q9Y5X4</t>
  </si>
  <si>
    <t>NR2E3_HUMAN</t>
  </si>
  <si>
    <t>Tailless-like receptors (NR2E){2.1.3.3}</t>
  </si>
  <si>
    <t>nAAKTCAAAARKMM</t>
  </si>
  <si>
    <t>NR2E3</t>
  </si>
  <si>
    <t>NR2E3_HUMAN.H11MO.0.C</t>
  </si>
  <si>
    <t>Q9Y466</t>
  </si>
  <si>
    <t>NR2E1_HUMAN</t>
  </si>
  <si>
    <t>MARKCAAdAAGTCAWbh</t>
  </si>
  <si>
    <t>NR2E1</t>
  </si>
  <si>
    <t>NR2E1_HUMAN.H11MO.0.D</t>
  </si>
  <si>
    <t>P49116</t>
  </si>
  <si>
    <t>NR2C2_HUMAN</t>
  </si>
  <si>
    <t>Testicular receptors (NR2C){2.1.3.4}</t>
  </si>
  <si>
    <t>RbTYMSGGGKCR</t>
  </si>
  <si>
    <t>NR2C2</t>
  </si>
  <si>
    <t>NR2C2_HUMAN.H11MO.0.B</t>
  </si>
  <si>
    <t>P13056</t>
  </si>
  <si>
    <t>NR2C1_HUMAN</t>
  </si>
  <si>
    <t>RbYvARAGGTCAn</t>
  </si>
  <si>
    <t>NR2C1</t>
  </si>
  <si>
    <t>NR2C1_HUMAN.H11MO.0.C</t>
  </si>
  <si>
    <t>Q14994</t>
  </si>
  <si>
    <t>NR1I3_HUMAN</t>
  </si>
  <si>
    <t>RAGTTCAb</t>
  </si>
  <si>
    <t>NR1I3</t>
  </si>
  <si>
    <t>NR1I3_HUMAN.H11MO.1.D</t>
  </si>
  <si>
    <t>RRGSTCAvvvRAGKWYRd</t>
  </si>
  <si>
    <t>NR1I3_HUMAN.H11MO.0.C</t>
  </si>
  <si>
    <t>O75469</t>
  </si>
  <si>
    <t>NR1I2_HUMAN</t>
  </si>
  <si>
    <t>dAGKTCAb</t>
  </si>
  <si>
    <t>NR1I2</t>
  </si>
  <si>
    <t>NR1I2_HUMAN.H11MO.1.D</t>
  </si>
  <si>
    <t>ddRRSTYARnnRAGKTCAb</t>
  </si>
  <si>
    <t>NR1I2_HUMAN.H11MO.0.C</t>
  </si>
  <si>
    <t>Q96RI1</t>
  </si>
  <si>
    <t>NR1H4_HUMAN</t>
  </si>
  <si>
    <t>LXR (NR1H){2.1.2.7}</t>
  </si>
  <si>
    <t>RGGKCAbh</t>
  </si>
  <si>
    <t>NR1H4</t>
  </si>
  <si>
    <t>NR1H4_HUMAN.H11MO.1.B</t>
  </si>
  <si>
    <t>vRGKKSRvYGdCCbbbvGK</t>
  </si>
  <si>
    <t>NR1H4_HUMAN.H11MO.0.B</t>
  </si>
  <si>
    <t>Q13133</t>
  </si>
  <si>
    <t>NR1H3_HUMAN</t>
  </si>
  <si>
    <t>hvAGGKCAvd</t>
  </si>
  <si>
    <t>NR1H3</t>
  </si>
  <si>
    <t>NR1H3_HUMAN.H11MO.1.B</t>
  </si>
  <si>
    <t>vhvRGKYhAbhnnRGKdYA</t>
  </si>
  <si>
    <t>NR1H3_HUMAN.H11MO.0.B</t>
  </si>
  <si>
    <t>P55055</t>
  </si>
  <si>
    <t>NR1H2_HUMAN</t>
  </si>
  <si>
    <t>TMRAGGTCAAAGGTCAASK</t>
  </si>
  <si>
    <t>NR1H2</t>
  </si>
  <si>
    <t>NR1H2_HUMAN.H11MO.0.D</t>
  </si>
  <si>
    <t>P20393</t>
  </si>
  <si>
    <t>NR1D1_HUMAN</t>
  </si>
  <si>
    <t>Rev-ErbA (NR1D){2.1.2.3}</t>
  </si>
  <si>
    <t>WWAAvTAGGTCAnd</t>
  </si>
  <si>
    <t>NR1D1</t>
  </si>
  <si>
    <t>NR1D1_HUMAN.H11MO.1.D</t>
  </si>
  <si>
    <t>dRvnMWbWGKGdMAvdddv</t>
  </si>
  <si>
    <t>NR1D1_HUMAN.H11MO.0.B</t>
  </si>
  <si>
    <t>P51843</t>
  </si>
  <si>
    <t>NR0B1_HUMAN</t>
  </si>
  <si>
    <t>DAX1 (NR0B1){2.1.7.0.1}</t>
  </si>
  <si>
    <t>DAX-related receptors (NR0){2.1.7}</t>
  </si>
  <si>
    <t>SCGKGGRASA</t>
  </si>
  <si>
    <t>NR0B1</t>
  </si>
  <si>
    <t>NR0B1_HUMAN.H11MO.0.D</t>
  </si>
  <si>
    <t>A8MTQ0</t>
  </si>
  <si>
    <t>NOTO_HUMAN</t>
  </si>
  <si>
    <t>NOTO{3.1.2.20}</t>
  </si>
  <si>
    <t>vYTAATTWRnb</t>
  </si>
  <si>
    <t>NOTO</t>
  </si>
  <si>
    <t>NOTO_HUMAN.H11MO.0.D</t>
  </si>
  <si>
    <t>O60393</t>
  </si>
  <si>
    <t>NOBOX_HUMAN</t>
  </si>
  <si>
    <t>NOBOX{3.1.3.15}</t>
  </si>
  <si>
    <t>hTAATTGvb</t>
  </si>
  <si>
    <t>NOBOX</t>
  </si>
  <si>
    <t>NOBOX_HUMAN.H11MO.0.C</t>
  </si>
  <si>
    <t>Q9C056</t>
  </si>
  <si>
    <t>NKX62_HUMAN</t>
  </si>
  <si>
    <t>NK-6{3.1.2.19}</t>
  </si>
  <si>
    <t>ndWTAATKRbn</t>
  </si>
  <si>
    <t>NKX6-2</t>
  </si>
  <si>
    <t>NKX62_HUMAN.H11MO.0.D</t>
  </si>
  <si>
    <t>P78426</t>
  </si>
  <si>
    <t>NKX61_HUMAN</t>
  </si>
  <si>
    <t>hAATGRv</t>
  </si>
  <si>
    <t>NKX6-1</t>
  </si>
  <si>
    <t>NKX61_HUMAN.H11MO.1.B</t>
  </si>
  <si>
    <t>vRhdRATKdvndWWWRAWd</t>
  </si>
  <si>
    <t>NKX61_HUMAN.H11MO.0.B</t>
  </si>
  <si>
    <t>P78367</t>
  </si>
  <si>
    <t>NKX32_HUMAN</t>
  </si>
  <si>
    <t>NK-3{3.1.2.16}</t>
  </si>
  <si>
    <t>WTAAGTGbhh</t>
  </si>
  <si>
    <t>NKX3-2</t>
  </si>
  <si>
    <t>NKX32_HUMAN.H11MO.0.C</t>
  </si>
  <si>
    <t>Q99801</t>
  </si>
  <si>
    <t>NKX31_HUMAN</t>
  </si>
  <si>
    <t>nbdRAGTGbYWd</t>
  </si>
  <si>
    <t>NKX3-1</t>
  </si>
  <si>
    <t>NKX31_HUMAN.H11MO.0.C</t>
  </si>
  <si>
    <t>O15522</t>
  </si>
  <si>
    <t>NKX28_HUMAN</t>
  </si>
  <si>
    <t>NK-2.2{3.1.2.15}</t>
  </si>
  <si>
    <t>bTCAAGGAb</t>
  </si>
  <si>
    <t>NKX2-8</t>
  </si>
  <si>
    <t>NKX28_HUMAN.H11MO.0.C</t>
  </si>
  <si>
    <t>P52952</t>
  </si>
  <si>
    <t>NKX25_HUMAN</t>
  </si>
  <si>
    <t>NK-4{3.1.2.17}</t>
  </si>
  <si>
    <t>bbRAGWGv</t>
  </si>
  <si>
    <t>NKX2-5</t>
  </si>
  <si>
    <t>NKX25_HUMAN.H11MO.0.B</t>
  </si>
  <si>
    <t>Q8TAU0</t>
  </si>
  <si>
    <t>NKX23_HUMAN</t>
  </si>
  <si>
    <t>ndbAAGTGKbh</t>
  </si>
  <si>
    <t>NKX2-3</t>
  </si>
  <si>
    <t>NKX23_HUMAN.H11MO.0.D</t>
  </si>
  <si>
    <t>O95096</t>
  </si>
  <si>
    <t>NKX22_HUMAN</t>
  </si>
  <si>
    <t>dSAGWGvh</t>
  </si>
  <si>
    <t>NKX2-2</t>
  </si>
  <si>
    <t>NKX22_HUMAN.H11MO.0.D</t>
  </si>
  <si>
    <t>P43699</t>
  </si>
  <si>
    <t>NKX21_HUMAN</t>
  </si>
  <si>
    <t>NK-2.1{3.1.2.14}</t>
  </si>
  <si>
    <t>bWKGAGWGbh</t>
  </si>
  <si>
    <t>NKX2-1</t>
  </si>
  <si>
    <t>NKX21_HUMAN.H11MO.0.A</t>
  </si>
  <si>
    <t>Q9H2A3</t>
  </si>
  <si>
    <t>NGN2_HUMAN</t>
  </si>
  <si>
    <t>vbRRCAGATGKb</t>
  </si>
  <si>
    <t>NEUROG2</t>
  </si>
  <si>
    <t>NGN2_HUMAN.H11MO.0.D</t>
  </si>
  <si>
    <t>Q13952</t>
  </si>
  <si>
    <t>NFYC_HUMAN</t>
  </si>
  <si>
    <t>NF-YC{4.2.1.0.3}</t>
  </si>
  <si>
    <t>Heteromeric CCAAT-binding factors{4.2.1}</t>
  </si>
  <si>
    <t>bbvdCCAATvRvvd</t>
  </si>
  <si>
    <t>NFYC</t>
  </si>
  <si>
    <t>NFYC_HUMAN.H11MO.0.A</t>
  </si>
  <si>
    <t>P25208</t>
  </si>
  <si>
    <t>NFYB_HUMAN</t>
  </si>
  <si>
    <t>NF-YB (CP1B, CBF-A){4.2.1.0.2}</t>
  </si>
  <si>
    <t>bRRCCAATSRSvd</t>
  </si>
  <si>
    <t>NFYB</t>
  </si>
  <si>
    <t>NFYB_HUMAN.H11MO.0.A</t>
  </si>
  <si>
    <t>P23511</t>
  </si>
  <si>
    <t>NFYA_HUMAN</t>
  </si>
  <si>
    <t>NF-YA (CP1A, CBF-B){4.2.1.0.1}</t>
  </si>
  <si>
    <t>bbRRCCAATSRvMR</t>
  </si>
  <si>
    <t>NFYA_HUMAN.H11MO.0.A</t>
  </si>
  <si>
    <t>Q00653</t>
  </si>
  <si>
    <t>NFKB2_HUMAN</t>
  </si>
  <si>
    <t>NF-kappaB p50 subunit-like factors{6.1.1.1}</t>
  </si>
  <si>
    <t>KGGRAAdYCCC</t>
  </si>
  <si>
    <t>NFKB2</t>
  </si>
  <si>
    <t>NFKB2_HUMAN.H11MO.0.B</t>
  </si>
  <si>
    <t>P19838</t>
  </si>
  <si>
    <t>NFKB1_HUMAN</t>
  </si>
  <si>
    <t>GGGAAAbYCCC</t>
  </si>
  <si>
    <t>NFKB1</t>
  </si>
  <si>
    <t>NFKB1_HUMAN.H11MO.1.B</t>
  </si>
  <si>
    <t>Q16649</t>
  </si>
  <si>
    <t>NFIL3_HUMAN</t>
  </si>
  <si>
    <t>dvTTATGYAAb</t>
  </si>
  <si>
    <t>NFIL3</t>
  </si>
  <si>
    <t>NFIL3_HUMAN.H11MO.0.D</t>
  </si>
  <si>
    <t>P08651</t>
  </si>
  <si>
    <t>NFIC_HUMAN</t>
  </si>
  <si>
    <t>NF-1C (NF-IC){7.1.2.0.3}</t>
  </si>
  <si>
    <t>Nuclear factor 1{7.1.2}</t>
  </si>
  <si>
    <t>bbTTGGCWb</t>
  </si>
  <si>
    <t>NFIC</t>
  </si>
  <si>
    <t>NFIC_HUMAN.H11MO.1.A</t>
  </si>
  <si>
    <t>bYKGGMhbChdKCCMdv</t>
  </si>
  <si>
    <t>NFIC_HUMAN.H11MO.0.A</t>
  </si>
  <si>
    <t>O00712</t>
  </si>
  <si>
    <t>NFIB_HUMAN</t>
  </si>
  <si>
    <t>NF-1B (NF-IB){7.1.2.0.2}</t>
  </si>
  <si>
    <t>hYYTGGCWb</t>
  </si>
  <si>
    <t>NFIB</t>
  </si>
  <si>
    <t>NFIB_HUMAN.H11MO.0.D</t>
  </si>
  <si>
    <t>Q12857</t>
  </si>
  <si>
    <t>NFIA_HUMAN</t>
  </si>
  <si>
    <t>NF-1A (NF-IA){7.1.2.0.1}</t>
  </si>
  <si>
    <t>hYTGGCd</t>
  </si>
  <si>
    <t>NFIA</t>
  </si>
  <si>
    <t>NFIA_HUMAN.H11MO.1.D</t>
  </si>
  <si>
    <t>hTGGShnGnhKCCWd</t>
  </si>
  <si>
    <t>NFIA_HUMAN.H11MO.0.C</t>
  </si>
  <si>
    <t>Q16621</t>
  </si>
  <si>
    <t>NFE2_HUMAN</t>
  </si>
  <si>
    <t>NF-E2-like factors{1.1.1.2}</t>
  </si>
  <si>
    <t>Jun-related factors{1.1.1}</t>
  </si>
  <si>
    <t>vvRTGACWCAGCW</t>
  </si>
  <si>
    <t>NFE2</t>
  </si>
  <si>
    <t>NFE2_HUMAN.H11MO.0.A</t>
  </si>
  <si>
    <t>O94916</t>
  </si>
  <si>
    <t>NFAT5_HUMAN</t>
  </si>
  <si>
    <t>NFAT5 (TonEBP){6.1.3.0.5}</t>
  </si>
  <si>
    <t>NFAT-related factors{6.1.3}</t>
  </si>
  <si>
    <t>vvdGGAARddn</t>
  </si>
  <si>
    <t>NFAT5</t>
  </si>
  <si>
    <t>NFAT5_HUMAN.H11MO.0.D</t>
  </si>
  <si>
    <t>Q14934</t>
  </si>
  <si>
    <t>NFAC4_HUMAN</t>
  </si>
  <si>
    <t>NFATc4 (NFAT3){6.1.3.0.4}</t>
  </si>
  <si>
    <t>dGGAAARhdW</t>
  </si>
  <si>
    <t>NFATC4</t>
  </si>
  <si>
    <t>NFAC4_HUMAN.H11MO.0.C</t>
  </si>
  <si>
    <t>Q12968</t>
  </si>
  <si>
    <t>NFAC3_HUMAN</t>
  </si>
  <si>
    <t>NFATc3 (NFATx){6.1.3.0.3}</t>
  </si>
  <si>
    <t>hGGAAAAhY</t>
  </si>
  <si>
    <t>NFATC3</t>
  </si>
  <si>
    <t>NFAC3_HUMAN.H11MO.0.B</t>
  </si>
  <si>
    <t>Q13469</t>
  </si>
  <si>
    <t>NFAC2_HUMAN</t>
  </si>
  <si>
    <t>NFATc2 (NFATp, NFAT1){6.1.3.0.2}</t>
  </si>
  <si>
    <t>dGGAAAWhb</t>
  </si>
  <si>
    <t>NFATC2</t>
  </si>
  <si>
    <t>NFAC2_HUMAN.H11MO.0.B</t>
  </si>
  <si>
    <t>O95644</t>
  </si>
  <si>
    <t>NFAC1_HUMAN</t>
  </si>
  <si>
    <t>NFATc1{6.1.3.0.1}</t>
  </si>
  <si>
    <t>vvWGGAAARn</t>
  </si>
  <si>
    <t>NFATC1</t>
  </si>
  <si>
    <t>NFAC1_HUMAN.H11MO.1.B</t>
  </si>
  <si>
    <t>vWGGAAAvdvWRvvd</t>
  </si>
  <si>
    <t>NFAC1_HUMAN.H11MO.0.B</t>
  </si>
  <si>
    <t>Q16236</t>
  </si>
  <si>
    <t>NF2L2_HUMAN</t>
  </si>
  <si>
    <t>WhhTGCTGAGTCAY</t>
  </si>
  <si>
    <t>NFE2L2</t>
  </si>
  <si>
    <t>NF2L2_HUMAN.H11MO.0.A</t>
  </si>
  <si>
    <t>Q14494</t>
  </si>
  <si>
    <t>NF2L1_HUMAN</t>
  </si>
  <si>
    <t>hRTCAYn</t>
  </si>
  <si>
    <t>NFE2L1</t>
  </si>
  <si>
    <t>NF2L1_HUMAN.H11MO.0.C</t>
  </si>
  <si>
    <t>Q15784</t>
  </si>
  <si>
    <t>NDF2_HUMAN</t>
  </si>
  <si>
    <t>RRCAGMTGG</t>
  </si>
  <si>
    <t>NEUROD2</t>
  </si>
  <si>
    <t>NDF2_HUMAN.H11MO.0.B</t>
  </si>
  <si>
    <t>Q13562</t>
  </si>
  <si>
    <t>NDF1_HUMAN</t>
  </si>
  <si>
    <t>RRCAGMTGGb</t>
  </si>
  <si>
    <t>NEUROD1</t>
  </si>
  <si>
    <t>NDF1_HUMAN.H11MO.0.A</t>
  </si>
  <si>
    <t>Q9H9S0</t>
  </si>
  <si>
    <t>NANOG_HUMAN</t>
  </si>
  <si>
    <t>NANOG{3.1.2.12}</t>
  </si>
  <si>
    <t>vRSCCATYAvn</t>
  </si>
  <si>
    <t>NANOG</t>
  </si>
  <si>
    <t>NANOG_HUMAN.H11MO.1.B</t>
  </si>
  <si>
    <t>nbhWTTSWnATGYWRWb</t>
  </si>
  <si>
    <t>NANOG_HUMAN.H11MO.0.A</t>
  </si>
  <si>
    <t>P28698</t>
  </si>
  <si>
    <t>MZF1_HUMAN</t>
  </si>
  <si>
    <t>vvdRGGGAWbddv</t>
  </si>
  <si>
    <t>MZF1</t>
  </si>
  <si>
    <t>MZF1_HUMAN.H11MO.0.B</t>
  </si>
  <si>
    <t>P15173</t>
  </si>
  <si>
    <t>MYOG_HUMAN</t>
  </si>
  <si>
    <t>Myogenic transcription factors{1.2.2.1}</t>
  </si>
  <si>
    <t>MyoD / ASC-related factors{1.2.2}</t>
  </si>
  <si>
    <t>bhvCAGCTGYYhb</t>
  </si>
  <si>
    <t>MYOG</t>
  </si>
  <si>
    <t>MYOG_HUMAN.H11MO.0.B</t>
  </si>
  <si>
    <t>P15172</t>
  </si>
  <si>
    <t>MYOD1_HUMAN</t>
  </si>
  <si>
    <t>bnbCAGCTGTY</t>
  </si>
  <si>
    <t>MYOD1</t>
  </si>
  <si>
    <t>MYOD1_HUMAN.H11MO.1.A</t>
  </si>
  <si>
    <t>vCAGCTGYYnYbbbh</t>
  </si>
  <si>
    <t>MYOD1_HUMAN.H11MO.0.A</t>
  </si>
  <si>
    <t>Q9NPC7</t>
  </si>
  <si>
    <t>MYNN_HUMAN</t>
  </si>
  <si>
    <t>dRRCTYTTAWKbYRdhR</t>
  </si>
  <si>
    <t>MYNN</t>
  </si>
  <si>
    <t>MYNN_HUMAN.H11MO.0.D</t>
  </si>
  <si>
    <t>P23409</t>
  </si>
  <si>
    <t>MYF6_HUMAN</t>
  </si>
  <si>
    <t>CAGCTGC</t>
  </si>
  <si>
    <t>MYF6</t>
  </si>
  <si>
    <t>MYF6_HUMAN.H11MO.0.C</t>
  </si>
  <si>
    <t>P01106</t>
  </si>
  <si>
    <t>MYC_HUMAN</t>
  </si>
  <si>
    <t>Myc / Max factors{1.2.6.5}</t>
  </si>
  <si>
    <t>vMCACGTGShb</t>
  </si>
  <si>
    <t>MYC</t>
  </si>
  <si>
    <t>MYC_HUMAN.H11MO.0.A</t>
  </si>
  <si>
    <t>P04198</t>
  </si>
  <si>
    <t>MYCN_HUMAN</t>
  </si>
  <si>
    <t>vRvCACGTGbdv</t>
  </si>
  <si>
    <t>MYCN</t>
  </si>
  <si>
    <t>MYCN_HUMAN.H11MO.0.A</t>
  </si>
  <si>
    <t>P10242</t>
  </si>
  <si>
    <t>MYB_HUMAN</t>
  </si>
  <si>
    <t>Myb-like factors{3.5.1.1}</t>
  </si>
  <si>
    <t>dvhRRCMGYTRv</t>
  </si>
  <si>
    <t>MYB</t>
  </si>
  <si>
    <t>MYB_HUMAN.H11MO.0.A</t>
  </si>
  <si>
    <t>P10244</t>
  </si>
  <si>
    <t>MYBB_HUMAN</t>
  </si>
  <si>
    <t>dRSAnGTTdW</t>
  </si>
  <si>
    <t>MYBL2</t>
  </si>
  <si>
    <t>MYBB_HUMAN.H11MO.0.D</t>
  </si>
  <si>
    <t>P10243</t>
  </si>
  <si>
    <t>MYBA_HUMAN</t>
  </si>
  <si>
    <t>vbbGRCvGTTRvnvv</t>
  </si>
  <si>
    <t>MYBL1</t>
  </si>
  <si>
    <t>MYBA_HUMAN.H11MO.0.D</t>
  </si>
  <si>
    <t>P50539</t>
  </si>
  <si>
    <t>MXI1_HUMAN</t>
  </si>
  <si>
    <t>Mad-like factors{1.2.6.7}</t>
  </si>
  <si>
    <t>SMCACRTGbhb</t>
  </si>
  <si>
    <t>MXI1</t>
  </si>
  <si>
    <t>MXI1_HUMAN.H11MO.1.A</t>
  </si>
  <si>
    <t>vCACRYGKvnSbbbv</t>
  </si>
  <si>
    <t>MXI1_HUMAN.H11MO.0.A</t>
  </si>
  <si>
    <t>Q14872</t>
  </si>
  <si>
    <t>MTF1_HUMAN</t>
  </si>
  <si>
    <t>vGKRMCGKGTGCAdMdb</t>
  </si>
  <si>
    <t>MTF1</t>
  </si>
  <si>
    <t>MTF1_HUMAN.H11MO.0.C</t>
  </si>
  <si>
    <t>P35548</t>
  </si>
  <si>
    <t>MSX2_HUMAN</t>
  </si>
  <si>
    <t>MSX{3.1.2.11}</t>
  </si>
  <si>
    <t>TAATTnb</t>
  </si>
  <si>
    <t>MSX2_HUMAN.H11MO.0.D</t>
  </si>
  <si>
    <t>P28360</t>
  </si>
  <si>
    <t>MSX1_HUMAN</t>
  </si>
  <si>
    <t>WWATTRbdhbhTAATTRb</t>
  </si>
  <si>
    <t>MSX1</t>
  </si>
  <si>
    <t>MSX1_HUMAN.H11MO.0.D</t>
  </si>
  <si>
    <t>P50219</t>
  </si>
  <si>
    <t>MNX1_HUMAN</t>
  </si>
  <si>
    <t>MNX{3.1.1.13}</t>
  </si>
  <si>
    <t>hbWYTYdMnWhWCYhYnhh</t>
  </si>
  <si>
    <t>MNX1</t>
  </si>
  <si>
    <t>MNX1_HUMAN.H11MO.0.D</t>
  </si>
  <si>
    <t>Q9UH92</t>
  </si>
  <si>
    <t>MLX_HUMAN</t>
  </si>
  <si>
    <t>Mondo-like factors{1.2.6.6}</t>
  </si>
  <si>
    <t>hdRWCACGTGn</t>
  </si>
  <si>
    <t>MLX_HUMAN.H11MO.0.D</t>
  </si>
  <si>
    <t>Q9NP71</t>
  </si>
  <si>
    <t>MLXPL_HUMAN</t>
  </si>
  <si>
    <t>SCAYGKGRMMMYnbSGTGb</t>
  </si>
  <si>
    <t>MLXIPL</t>
  </si>
  <si>
    <t>MLXPL_HUMAN.H11MO.0.D</t>
  </si>
  <si>
    <t>Q9H2W2</t>
  </si>
  <si>
    <t>MIXL1_HUMAN</t>
  </si>
  <si>
    <t>MIX{3.1.3.14}</t>
  </si>
  <si>
    <t>vbTAATTvvdn</t>
  </si>
  <si>
    <t>MIXL1</t>
  </si>
  <si>
    <t>MIXL1_HUMAN.H11MO.0.D</t>
  </si>
  <si>
    <t>O75030</t>
  </si>
  <si>
    <t>MITF_HUMAN</t>
  </si>
  <si>
    <t>YCACGTGACh</t>
  </si>
  <si>
    <t>MITF</t>
  </si>
  <si>
    <t>MITF_HUMAN.H11MO.0.A</t>
  </si>
  <si>
    <t>Q8IWI9</t>
  </si>
  <si>
    <t>MGAP_HUMAN</t>
  </si>
  <si>
    <t>Mad-like factors{1.2.6.7}; MGA (MAD5){6.5.5.0.2}</t>
  </si>
  <si>
    <t>bHLH-ZIP factors{1.2.6}; TBX6-related factors{6.5.5}</t>
  </si>
  <si>
    <t>RRGTGTKAnWTWTMRC</t>
  </si>
  <si>
    <t>MGA</t>
  </si>
  <si>
    <t>MGAP_HUMAN.H11MO.0.D</t>
  </si>
  <si>
    <t>Q9BRJ9</t>
  </si>
  <si>
    <t>MESP1_HUMAN</t>
  </si>
  <si>
    <t>Mesp-like factors{1.2.3.3}</t>
  </si>
  <si>
    <t>nCAGGTGbdnn</t>
  </si>
  <si>
    <t>MESP1</t>
  </si>
  <si>
    <t>MESP1_HUMAN.H11MO.0.D</t>
  </si>
  <si>
    <t>P50222</t>
  </si>
  <si>
    <t>MEOX2_HUMAN</t>
  </si>
  <si>
    <t>MEOX{3.1.1.14}</t>
  </si>
  <si>
    <t>hTAATTAbndh</t>
  </si>
  <si>
    <t>MEOX2</t>
  </si>
  <si>
    <t>MEOX2_HUMAN.H11MO.0.D</t>
  </si>
  <si>
    <t>P50221</t>
  </si>
  <si>
    <t>MEOX1_HUMAN</t>
  </si>
  <si>
    <t>nbTAATTAnbRbhWWh</t>
  </si>
  <si>
    <t>MEOX1</t>
  </si>
  <si>
    <t>MEOX1_HUMAN.H11MO.0.D</t>
  </si>
  <si>
    <t>Q99687</t>
  </si>
  <si>
    <t>MEIS3_HUMAN</t>
  </si>
  <si>
    <t>MEIS{3.1.4.2}</t>
  </si>
  <si>
    <t>ndTGACAKvYd</t>
  </si>
  <si>
    <t>MEIS3</t>
  </si>
  <si>
    <t>MEIS3_HUMAN.H11MO.0.D</t>
  </si>
  <si>
    <t>O14770</t>
  </si>
  <si>
    <t>MEIS2_HUMAN</t>
  </si>
  <si>
    <t>hTGACAGbTKTbv</t>
  </si>
  <si>
    <t>MEIS2</t>
  </si>
  <si>
    <t>MEIS2_HUMAN.H11MO.0.B</t>
  </si>
  <si>
    <t>O00470</t>
  </si>
  <si>
    <t>MEIS1_HUMAN</t>
  </si>
  <si>
    <t>dhTGACARv</t>
  </si>
  <si>
    <t>MEIS1</t>
  </si>
  <si>
    <t>MEIS1_HUMAN.H11MO.1.B</t>
  </si>
  <si>
    <t>dTGATWdATddb</t>
  </si>
  <si>
    <t>MEIS1_HUMAN.H11MO.0.A</t>
  </si>
  <si>
    <t>Q14814</t>
  </si>
  <si>
    <t>MEF2D_HUMAN</t>
  </si>
  <si>
    <t>MEF-2{5.1.1.1}</t>
  </si>
  <si>
    <t>Regulators of differentiation{5.1.1}</t>
  </si>
  <si>
    <t>dKYTATTTWTAR</t>
  </si>
  <si>
    <t>MEF2D_HUMAN.H11MO.0.A</t>
  </si>
  <si>
    <t>Q06413</t>
  </si>
  <si>
    <t>MEF2C_HUMAN</t>
  </si>
  <si>
    <t>ddYTATTTWWRRh</t>
  </si>
  <si>
    <t>MEF2C</t>
  </si>
  <si>
    <t>MEF2C_HUMAN.H11MO.0.A</t>
  </si>
  <si>
    <t>Q02080</t>
  </si>
  <si>
    <t>MEF2B_HUMAN</t>
  </si>
  <si>
    <t>100271849; 4207</t>
  </si>
  <si>
    <t>ddddYTATTTWWRK</t>
  </si>
  <si>
    <t>MEF2B</t>
  </si>
  <si>
    <t>MEF2B_HUMAN.H11MO.0.A</t>
  </si>
  <si>
    <t>Q02078</t>
  </si>
  <si>
    <t>MEF2A_HUMAN</t>
  </si>
  <si>
    <t>MEF2A_HUMAN.H11MO.0.A</t>
  </si>
  <si>
    <t>P51608</t>
  </si>
  <si>
    <t>MECP2_HUMAN</t>
  </si>
  <si>
    <t>SCCGGAG</t>
  </si>
  <si>
    <t>MECP2</t>
  </si>
  <si>
    <t>MECP2_HUMAN.H11MO.0.C</t>
  </si>
  <si>
    <t>P08235</t>
  </si>
  <si>
    <t>MCR_HUMAN</t>
  </si>
  <si>
    <t>hAGWMCARSTKGTdGKR</t>
  </si>
  <si>
    <t>NR3C2</t>
  </si>
  <si>
    <t>MCR_HUMAN.H11MO.0.D</t>
  </si>
  <si>
    <t>Q9UBB5</t>
  </si>
  <si>
    <t>MBD2_HUMAN</t>
  </si>
  <si>
    <t>nSGGCCGGMKv</t>
  </si>
  <si>
    <t>MBD2</t>
  </si>
  <si>
    <t>MBD2_HUMAN.H11MO.0.B</t>
  </si>
  <si>
    <t>P56270</t>
  </si>
  <si>
    <t>MAZ_HUMAN</t>
  </si>
  <si>
    <t>RRGGGMGGGGv</t>
  </si>
  <si>
    <t>MAZ_HUMAN.H11MO.1.A</t>
  </si>
  <si>
    <t>vRRGGWGGRRSnRRRRRvdvdR</t>
  </si>
  <si>
    <t>MAZ_HUMAN.H11MO.0.A</t>
  </si>
  <si>
    <t>P61244</t>
  </si>
  <si>
    <t>MAX_HUMAN</t>
  </si>
  <si>
    <t>vnSCACGYGK</t>
  </si>
  <si>
    <t>MAX</t>
  </si>
  <si>
    <t>MAX_HUMAN.H11MO.0.A</t>
  </si>
  <si>
    <t>O75444</t>
  </si>
  <si>
    <t>MAF_HUMAN</t>
  </si>
  <si>
    <t>WGCTGAbh</t>
  </si>
  <si>
    <t>MAF</t>
  </si>
  <si>
    <t>MAF_HUMAN.H11MO.1.B</t>
  </si>
  <si>
    <t>vdWdnTGCTGAbdhddvhd</t>
  </si>
  <si>
    <t>MAF_HUMAN.H11MO.0.A</t>
  </si>
  <si>
    <t>O60675</t>
  </si>
  <si>
    <t>MAFK_HUMAN</t>
  </si>
  <si>
    <t>Small Maf factors{1.1.3.2}</t>
  </si>
  <si>
    <t>WGCTGAGTMAKSW</t>
  </si>
  <si>
    <t>MAFK</t>
  </si>
  <si>
    <t>MAFK_HUMAN.H11MO.1.A</t>
  </si>
  <si>
    <t>ddWWnTGCTGASTCAKSW</t>
  </si>
  <si>
    <t>MAFK_HUMAN.H11MO.0.A</t>
  </si>
  <si>
    <t>O15525</t>
  </si>
  <si>
    <t>MAFG_HUMAN</t>
  </si>
  <si>
    <t>TGCTGWSK</t>
  </si>
  <si>
    <t>MAFG</t>
  </si>
  <si>
    <t>MAFG_HUMAN.H11MO.1.A</t>
  </si>
  <si>
    <t>ddWWnTGCTGASTCAGCW</t>
  </si>
  <si>
    <t>MAFG_HUMAN.H11MO.0.A</t>
  </si>
  <si>
    <t>Q9ULX9</t>
  </si>
  <si>
    <t>MAFF_HUMAN</t>
  </si>
  <si>
    <t>TGCTGASYY</t>
  </si>
  <si>
    <t>MAFF</t>
  </si>
  <si>
    <t>MAFF_HUMAN.H11MO.1.B</t>
  </si>
  <si>
    <t>KKCTKWbYYWKSdnhYYb</t>
  </si>
  <si>
    <t>MAFF_HUMAN.H11MO.0.B</t>
  </si>
  <si>
    <t>Q9Y5Q3</t>
  </si>
  <si>
    <t>MAFB_HUMAN</t>
  </si>
  <si>
    <t>TGCTGAbhhdd</t>
  </si>
  <si>
    <t>MAFB</t>
  </si>
  <si>
    <t>MAFB_HUMAN.H11MO.0.B</t>
  </si>
  <si>
    <t>Q8NHW3</t>
  </si>
  <si>
    <t>MAFA_HUMAN</t>
  </si>
  <si>
    <t>bKGCTGWMShhSYWvYYWYYv</t>
  </si>
  <si>
    <t>MAFA</t>
  </si>
  <si>
    <t>MAFA_HUMAN.H11MO.0.D</t>
  </si>
  <si>
    <t>P12980</t>
  </si>
  <si>
    <t>LYL1_HUMAN</t>
  </si>
  <si>
    <t>vMWbMTGYbhYbbb</t>
  </si>
  <si>
    <t>LYL1</t>
  </si>
  <si>
    <t>LYL1_HUMAN.H11MO.0.A</t>
  </si>
  <si>
    <t>O60663</t>
  </si>
  <si>
    <t>LMX1B_HUMAN</t>
  </si>
  <si>
    <t>Lmx{3.1.5.6}</t>
  </si>
  <si>
    <t>HD-LIM factors{3.1.5}</t>
  </si>
  <si>
    <t>TAATTAAYWvvbWhWWWW</t>
  </si>
  <si>
    <t>LMX1B</t>
  </si>
  <si>
    <t>LMX1B_HUMAN.H11MO.0.D</t>
  </si>
  <si>
    <t>Q8TE12</t>
  </si>
  <si>
    <t>LMX1A_HUMAN</t>
  </si>
  <si>
    <t>YAATTAAWWnKnYWATTWn</t>
  </si>
  <si>
    <t>LMX1A</t>
  </si>
  <si>
    <t>LMX1A_HUMAN.H11MO.0.D</t>
  </si>
  <si>
    <t>Q9NQ69</t>
  </si>
  <si>
    <t>LHX9_HUMAN</t>
  </si>
  <si>
    <t>Lhx-2-like factors{3.1.5.3}</t>
  </si>
  <si>
    <t>bTAATTARbnhhWWWWdd</t>
  </si>
  <si>
    <t>LHX9</t>
  </si>
  <si>
    <t>LHX9_HUMAN.H11MO.0.D</t>
  </si>
  <si>
    <t>Q68G74</t>
  </si>
  <si>
    <t>LHX8_HUMAN</t>
  </si>
  <si>
    <t>Lhx-6-like factors{3.1.5.5}</t>
  </si>
  <si>
    <t>hvYTAATTRShvhYWWdd</t>
  </si>
  <si>
    <t>LHX8</t>
  </si>
  <si>
    <t>LHX8_HUMAN.H11MO.0.D</t>
  </si>
  <si>
    <t>Q9UPM6</t>
  </si>
  <si>
    <t>LHX6_HUMAN</t>
  </si>
  <si>
    <t>nnYTGATTRv</t>
  </si>
  <si>
    <t>LHX6</t>
  </si>
  <si>
    <t>LHX6_HUMAN.H11MO.0.D</t>
  </si>
  <si>
    <t>Q969G2</t>
  </si>
  <si>
    <t>LHX4_HUMAN</t>
  </si>
  <si>
    <t>Lhx-3-like factors{3.1.5.4}</t>
  </si>
  <si>
    <t>dnvYTAATKdn</t>
  </si>
  <si>
    <t>LHX4</t>
  </si>
  <si>
    <t>LHX4_HUMAN.H11MO.0.D</t>
  </si>
  <si>
    <t>Q9UBR4</t>
  </si>
  <si>
    <t>LHX3_HUMAN</t>
  </si>
  <si>
    <t>ddAWTTAATTAdh</t>
  </si>
  <si>
    <t>LHX3</t>
  </si>
  <si>
    <t>LHX3_HUMAN.H11MO.0.C</t>
  </si>
  <si>
    <t>P50458</t>
  </si>
  <si>
    <t>LHX2_HUMAN</t>
  </si>
  <si>
    <t>bbYTAATTRvhb</t>
  </si>
  <si>
    <t>LHX2</t>
  </si>
  <si>
    <t>LHX2_HUMAN.H11MO.0.A</t>
  </si>
  <si>
    <t>Q9UJU2</t>
  </si>
  <si>
    <t>LEF1_HUMAN</t>
  </si>
  <si>
    <t>LEF-1 (TCF-1alpha) [1]{4.1.3.0.4}</t>
  </si>
  <si>
    <t>bSYTTTSWhnKbhh</t>
  </si>
  <si>
    <t>LEF1</t>
  </si>
  <si>
    <t>LEF1_HUMAN.H11MO.0.A</t>
  </si>
  <si>
    <t>Q6XYB7</t>
  </si>
  <si>
    <t>LBX2_HUMAN</t>
  </si>
  <si>
    <t>LBX{3.1.2.10}</t>
  </si>
  <si>
    <t>vYTAATTRGnb</t>
  </si>
  <si>
    <t>LBX2</t>
  </si>
  <si>
    <t>LBX2_HUMAN.H11MO.0.D</t>
  </si>
  <si>
    <t>Q13886</t>
  </si>
  <si>
    <t>KLF9_HUMAN</t>
  </si>
  <si>
    <t>Kr√ºppel-like factors{2.3.1.2}</t>
  </si>
  <si>
    <t>SvvGKGGGCGTGKCb</t>
  </si>
  <si>
    <t>KLF9</t>
  </si>
  <si>
    <t>KLF9_HUMAN.H11MO.0.C</t>
  </si>
  <si>
    <t>O95600</t>
  </si>
  <si>
    <t>KLF8_HUMAN</t>
  </si>
  <si>
    <t>CAGGGGGTG</t>
  </si>
  <si>
    <t>KLF8</t>
  </si>
  <si>
    <t>KLF8_HUMAN.H11MO.0.C</t>
  </si>
  <si>
    <t>Q99612</t>
  </si>
  <si>
    <t>KLF6_HUMAN</t>
  </si>
  <si>
    <t>vvvRGGGYGKRGvnbRSvv</t>
  </si>
  <si>
    <t>KLF6</t>
  </si>
  <si>
    <t>KLF6_HUMAN.H11MO.0.A</t>
  </si>
  <si>
    <t>Q13887</t>
  </si>
  <si>
    <t>KLF5_HUMAN</t>
  </si>
  <si>
    <t>dGGGYGKGGYnKdn</t>
  </si>
  <si>
    <t>KLF5</t>
  </si>
  <si>
    <t>KLF5_HUMAN.H11MO.0.A</t>
  </si>
  <si>
    <t>O43474</t>
  </si>
  <si>
    <t>KLF4_HUMAN</t>
  </si>
  <si>
    <t>dGGGYGKGGY</t>
  </si>
  <si>
    <t>KLF4</t>
  </si>
  <si>
    <t>KLF4_HUMAN.H11MO.0.A</t>
  </si>
  <si>
    <t>P57682</t>
  </si>
  <si>
    <t>KLF3_HUMAN</t>
  </si>
  <si>
    <t>vvvvvdGGGYGGRGbhbbv</t>
  </si>
  <si>
    <t>KLF3</t>
  </si>
  <si>
    <t>KLF3_HUMAN.H11MO.0.B</t>
  </si>
  <si>
    <t>Q13351</t>
  </si>
  <si>
    <t>KLF1_HUMAN</t>
  </si>
  <si>
    <t>dGGGYGKGGShbbS</t>
  </si>
  <si>
    <t>KLF1</t>
  </si>
  <si>
    <t>KLF1_HUMAN.H11MO.0.A</t>
  </si>
  <si>
    <t>Q9BXK1</t>
  </si>
  <si>
    <t>KLF16_HUMAN</t>
  </si>
  <si>
    <t>dbGGGYGKGdndGKKKSKb</t>
  </si>
  <si>
    <t>KLF16</t>
  </si>
  <si>
    <t>KLF16_HUMAN.H11MO.0.D</t>
  </si>
  <si>
    <t>Q9UIH9</t>
  </si>
  <si>
    <t>KLF15_HUMAN</t>
  </si>
  <si>
    <t>RRGGMGGRGvnRGGRRdSR</t>
  </si>
  <si>
    <t>KLF15</t>
  </si>
  <si>
    <t>KLF15_HUMAN.H11MO.0.A</t>
  </si>
  <si>
    <t>Q8TD94</t>
  </si>
  <si>
    <t>KLF14_HUMAN</t>
  </si>
  <si>
    <t>ddGKGGGCGTGdb</t>
  </si>
  <si>
    <t>KLF14</t>
  </si>
  <si>
    <t>KLF14_HUMAN.H11MO.0.D</t>
  </si>
  <si>
    <t>Q9Y2Y9</t>
  </si>
  <si>
    <t>KLF13_HUMAN</t>
  </si>
  <si>
    <t>dRGKGGGCGdn</t>
  </si>
  <si>
    <t>KLF13</t>
  </si>
  <si>
    <t>KLF13_HUMAN.H11MO.0.D</t>
  </si>
  <si>
    <t>Q9Y4X4</t>
  </si>
  <si>
    <t>KLF12_HUMAN</t>
  </si>
  <si>
    <t>vRGGGCGGGGC</t>
  </si>
  <si>
    <t>KLF12</t>
  </si>
  <si>
    <t>KLF12_HUMAN.H11MO.0.C</t>
  </si>
  <si>
    <t>Q86T24</t>
  </si>
  <si>
    <t>KAISO_HUMAN</t>
  </si>
  <si>
    <t>Factors with 2-3 adjacent zinc fingersand a BTB/POZ domain{2.3.2.1}</t>
  </si>
  <si>
    <t>hTvGCARGAddn</t>
  </si>
  <si>
    <t>ZBTB33</t>
  </si>
  <si>
    <t>KAISO_HUMAN.H11MO.2.A</t>
  </si>
  <si>
    <t>hvYCGCGAGAn</t>
  </si>
  <si>
    <t>KAISO_HUMAN.H11MO.1.A</t>
  </si>
  <si>
    <t>vdRvbMYCGCGAGAv</t>
  </si>
  <si>
    <t>KAISO_HUMAN.H11MO.0.A</t>
  </si>
  <si>
    <t>P05412</t>
  </si>
  <si>
    <t>JUN_HUMAN</t>
  </si>
  <si>
    <t>Jun factors{1.1.1.1}</t>
  </si>
  <si>
    <t>dvTGAGTCAYh</t>
  </si>
  <si>
    <t>JUN</t>
  </si>
  <si>
    <t>JUN_HUMAN.H11MO.0.A</t>
  </si>
  <si>
    <t>P17535</t>
  </si>
  <si>
    <t>JUND_HUMAN</t>
  </si>
  <si>
    <t>dvTGAGTCAbb</t>
  </si>
  <si>
    <t>JUND</t>
  </si>
  <si>
    <t>JUND_HUMAN.H11MO.0.A</t>
  </si>
  <si>
    <t>P17275</t>
  </si>
  <si>
    <t>JUNB_HUMAN</t>
  </si>
  <si>
    <t>dvTGAGTCAbh</t>
  </si>
  <si>
    <t>JUNB</t>
  </si>
  <si>
    <t>JUNB_HUMAN.H11MO.0.A</t>
  </si>
  <si>
    <t>Q8WYK2</t>
  </si>
  <si>
    <t>JDP2_HUMAN</t>
  </si>
  <si>
    <t>ATF-3-like factors{1.1.2.2}</t>
  </si>
  <si>
    <t>Fos-related factors{1.1.2}</t>
  </si>
  <si>
    <t>bRATGACGTCAb</t>
  </si>
  <si>
    <t>JDP2</t>
  </si>
  <si>
    <t>JDP2_HUMAN.H11MO.0.D</t>
  </si>
  <si>
    <t>P15884</t>
  </si>
  <si>
    <t>ITF2_HUMAN</t>
  </si>
  <si>
    <t>SEF2 (E2-2, TCF-4, ITF-2){1.2.1.0.2}</t>
  </si>
  <si>
    <t>dSCAGSTGbb</t>
  </si>
  <si>
    <t>TCF4</t>
  </si>
  <si>
    <t>ITF2_HUMAN.H11MO.0.C</t>
  </si>
  <si>
    <t>Q2M1V0</t>
  </si>
  <si>
    <t>ISX_HUMAN</t>
  </si>
  <si>
    <t>ISX{3.1.3.12}</t>
  </si>
  <si>
    <t>bTAATTARnhhWhhdd</t>
  </si>
  <si>
    <t>ISX</t>
  </si>
  <si>
    <t>ISX_HUMAN.H11MO.0.D</t>
  </si>
  <si>
    <t>Q96A47</t>
  </si>
  <si>
    <t>ISL2_HUMAN</t>
  </si>
  <si>
    <t>ISL{3.1.5.1}</t>
  </si>
  <si>
    <t>hnbTAAKTGvh</t>
  </si>
  <si>
    <t>ISL2</t>
  </si>
  <si>
    <t>ISL2_HUMAN.H11MO.0.D</t>
  </si>
  <si>
    <t>P61371</t>
  </si>
  <si>
    <t>ISL1_HUMAN</t>
  </si>
  <si>
    <t>vYWRAKKRv</t>
  </si>
  <si>
    <t>ISL1</t>
  </si>
  <si>
    <t>ISL1_HUMAN.H11MO.0.A</t>
  </si>
  <si>
    <t>P78415</t>
  </si>
  <si>
    <t>IRX3_HUMAN</t>
  </si>
  <si>
    <t>IRX (Iroquois){3.1.4.1}</t>
  </si>
  <si>
    <t>hndYWTGTWhd</t>
  </si>
  <si>
    <t>IRX3</t>
  </si>
  <si>
    <t>IRX3_HUMAN.H11MO.0.D</t>
  </si>
  <si>
    <t>Q9BZI1</t>
  </si>
  <si>
    <t>IRX2_HUMAN</t>
  </si>
  <si>
    <t>vbdbKdndKKdYRTGKdvd</t>
  </si>
  <si>
    <t>IRX2</t>
  </si>
  <si>
    <t>IRX2_HUMAN.H11MO.0.D</t>
  </si>
  <si>
    <t>Q00978</t>
  </si>
  <si>
    <t>IRF9_HUMAN</t>
  </si>
  <si>
    <t>IRF-9 (ISGF-3gamma){3.5.3.0.9}</t>
  </si>
  <si>
    <t>Interferon-regulatory factors{3.5.3}</t>
  </si>
  <si>
    <t>GAAAbhGAAACT</t>
  </si>
  <si>
    <t>IRF9</t>
  </si>
  <si>
    <t>IRF9_HUMAN.H11MO.0.C</t>
  </si>
  <si>
    <t>Q02556</t>
  </si>
  <si>
    <t>IRF8_HUMAN</t>
  </si>
  <si>
    <t>IRF-8 (ICSBP1){3.5.3.0.8}</t>
  </si>
  <si>
    <t>vdddvRGGAASTGAAASYdv</t>
  </si>
  <si>
    <t>IRF8</t>
  </si>
  <si>
    <t>IRF8_HUMAN.H11MO.0.B</t>
  </si>
  <si>
    <t>Q92985</t>
  </si>
  <si>
    <t>IRF7_HUMAN</t>
  </si>
  <si>
    <t>IRF-7{3.5.3.0.7}</t>
  </si>
  <si>
    <t>RAAAbYRAAW</t>
  </si>
  <si>
    <t>IRF7</t>
  </si>
  <si>
    <t>IRF7_HUMAN.H11MO.0.C</t>
  </si>
  <si>
    <t>Q13568</t>
  </si>
  <si>
    <t>IRF5_HUMAN</t>
  </si>
  <si>
    <t>IRF-5{3.5.3.0.5}</t>
  </si>
  <si>
    <t>KAAAGGAAAGCnAAAAGTGM</t>
  </si>
  <si>
    <t>IRF5</t>
  </si>
  <si>
    <t>IRF5_HUMAN.H11MO.0.D</t>
  </si>
  <si>
    <t>Q15306</t>
  </si>
  <si>
    <t>IRF4_HUMAN</t>
  </si>
  <si>
    <t>IRF-4 (LSIRF, NF-EM5, MUM1, Pip){3.5.3.0.4}</t>
  </si>
  <si>
    <t>vdWdRvGGAASTGARAvh</t>
  </si>
  <si>
    <t>IRF4</t>
  </si>
  <si>
    <t>IRF4_HUMAN.H11MO.0.A</t>
  </si>
  <si>
    <t>Q14653</t>
  </si>
  <si>
    <t>IRF3_HUMAN</t>
  </si>
  <si>
    <t>IRF-3{3.5.3.0.3}</t>
  </si>
  <si>
    <t>dRRRddRAAAvdGRAASnRR</t>
  </si>
  <si>
    <t>IRF3</t>
  </si>
  <si>
    <t>IRF3_HUMAN.H11MO.0.B</t>
  </si>
  <si>
    <t>P14316</t>
  </si>
  <si>
    <t>IRF2_HUMAN</t>
  </si>
  <si>
    <t>IRF-2{3.5.3.0.2}</t>
  </si>
  <si>
    <t>nRRWvhGAAASYGAAASYvv</t>
  </si>
  <si>
    <t>IRF2</t>
  </si>
  <si>
    <t>IRF2_HUMAN.H11MO.0.A</t>
  </si>
  <si>
    <t>P10914</t>
  </si>
  <si>
    <t>IRF1_HUMAN</t>
  </si>
  <si>
    <t>IRF-1{3.5.3.0.1}</t>
  </si>
  <si>
    <t>vRRWndGAAASWGAAAShvv</t>
  </si>
  <si>
    <t>IRF1</t>
  </si>
  <si>
    <t>IRF1_HUMAN.H11MO.0.A</t>
  </si>
  <si>
    <t>Q01101</t>
  </si>
  <si>
    <t>INSM1_HUMAN</t>
  </si>
  <si>
    <t>Insulinoma-associated proteins{2.3.4.16}</t>
  </si>
  <si>
    <t>KGYMAGGGGGCA</t>
  </si>
  <si>
    <t>INSM1</t>
  </si>
  <si>
    <t>INSM1_HUMAN.H11MO.0.C</t>
  </si>
  <si>
    <t>Q13422</t>
  </si>
  <si>
    <t>IKZF1_HUMAN</t>
  </si>
  <si>
    <t>Ikaros{2.3.4.4}</t>
  </si>
  <si>
    <t>bTGGGARd</t>
  </si>
  <si>
    <t>IKZF1</t>
  </si>
  <si>
    <t>IKZF1_HUMAN.H11MO.0.C</t>
  </si>
  <si>
    <t>P47928</t>
  </si>
  <si>
    <t>ID4_HUMAN</t>
  </si>
  <si>
    <t>Id4{1.2.8.0.4}</t>
  </si>
  <si>
    <t>HLH domain only{1.2.8}</t>
  </si>
  <si>
    <t>nnCAGGTGhnn</t>
  </si>
  <si>
    <t>ID4</t>
  </si>
  <si>
    <t>ID4_HUMAN.H11MO.0.D</t>
  </si>
  <si>
    <t>P28356</t>
  </si>
  <si>
    <t>HXD9_HUMAN</t>
  </si>
  <si>
    <t>HOX9-13{3.1.1.8}</t>
  </si>
  <si>
    <t>AnWTTnATnn</t>
  </si>
  <si>
    <t>HOXD9</t>
  </si>
  <si>
    <t>HXD9_HUMAN.H11MO.0.D</t>
  </si>
  <si>
    <t>P13378</t>
  </si>
  <si>
    <t>HXD8_HUMAN</t>
  </si>
  <si>
    <t>HOX8{3.1.1.7}</t>
  </si>
  <si>
    <t>hhWTWTRCvnn</t>
  </si>
  <si>
    <t>HOXD8</t>
  </si>
  <si>
    <t>HXD8_HUMAN.H11MO.0.D</t>
  </si>
  <si>
    <t>P09016</t>
  </si>
  <si>
    <t>HXD4_HUMAN</t>
  </si>
  <si>
    <t>HOX4{3.1.1.4}</t>
  </si>
  <si>
    <t>KTAATTnW</t>
  </si>
  <si>
    <t>HOXD4</t>
  </si>
  <si>
    <t>HXD4_HUMAN.H11MO.0.D</t>
  </si>
  <si>
    <t>P31249</t>
  </si>
  <si>
    <t>HXD3_HUMAN</t>
  </si>
  <si>
    <t>HOX3{3.1.1.3}</t>
  </si>
  <si>
    <t>nRbTAATTRbd</t>
  </si>
  <si>
    <t>HOXD3</t>
  </si>
  <si>
    <t>HXD3_HUMAN.H11MO.0.D</t>
  </si>
  <si>
    <t>P35453</t>
  </si>
  <si>
    <t>HXD13_HUMAN</t>
  </si>
  <si>
    <t>WTTAYKRKRGM</t>
  </si>
  <si>
    <t>HOXD13</t>
  </si>
  <si>
    <t>HXD13_HUMAN.H11MO.0.D</t>
  </si>
  <si>
    <t>P35452</t>
  </si>
  <si>
    <t>HXD12_HUMAN</t>
  </si>
  <si>
    <t>nnKTTTAnbdn</t>
  </si>
  <si>
    <t>HOXD12</t>
  </si>
  <si>
    <t>HXD12_HUMAN.H11MO.0.D</t>
  </si>
  <si>
    <t>P31277</t>
  </si>
  <si>
    <t>HXD11_HUMAN</t>
  </si>
  <si>
    <t>dhTTTATKdnn</t>
  </si>
  <si>
    <t>HOXD11</t>
  </si>
  <si>
    <t>HXD11_HUMAN.H11MO.0.D</t>
  </si>
  <si>
    <t>P28358</t>
  </si>
  <si>
    <t>HXD10_HUMAN</t>
  </si>
  <si>
    <t>TGnTYTWRTK</t>
  </si>
  <si>
    <t>HXD10_HUMAN.H11MO.0.D</t>
  </si>
  <si>
    <t>P31274</t>
  </si>
  <si>
    <t>HXC9_HUMAN</t>
  </si>
  <si>
    <t>hTTWATKGSh</t>
  </si>
  <si>
    <t>HXC9_HUMAN.H11MO.0.C</t>
  </si>
  <si>
    <t>P31273</t>
  </si>
  <si>
    <t>HXC8_HUMAN</t>
  </si>
  <si>
    <t>nTTSATTRAnKSnn</t>
  </si>
  <si>
    <t>HOXC8</t>
  </si>
  <si>
    <t>HXC8_HUMAN.H11MO.0.D</t>
  </si>
  <si>
    <t>P09630</t>
  </si>
  <si>
    <t>HXC6_HUMAN</t>
  </si>
  <si>
    <t>HOX6-7{3.1.1.6}</t>
  </si>
  <si>
    <t>WTGATTTATTWCTTT</t>
  </si>
  <si>
    <t>HOXC6</t>
  </si>
  <si>
    <t>HXC6_HUMAN.H11MO.0.D</t>
  </si>
  <si>
    <t>P31276</t>
  </si>
  <si>
    <t>HXC13_HUMAN</t>
  </si>
  <si>
    <t>ndTTTTACbvb</t>
  </si>
  <si>
    <t>HOXC13</t>
  </si>
  <si>
    <t>HXC13_HUMAN.H11MO.0.D</t>
  </si>
  <si>
    <t>P31275</t>
  </si>
  <si>
    <t>HXC12_HUMAN</t>
  </si>
  <si>
    <t>dWTTTAYKRYbb</t>
  </si>
  <si>
    <t>HOXC12</t>
  </si>
  <si>
    <t>HXC12_HUMAN.H11MO.0.D</t>
  </si>
  <si>
    <t>O43248</t>
  </si>
  <si>
    <t>HXC11_HUMAN</t>
  </si>
  <si>
    <t>dKTTWAYKRbh</t>
  </si>
  <si>
    <t>HOXC11</t>
  </si>
  <si>
    <t>HXC11_HUMAN.H11MO.0.D</t>
  </si>
  <si>
    <t>Q9NYD6</t>
  </si>
  <si>
    <t>HXC10_HUMAN</t>
  </si>
  <si>
    <t>ddWWWddnndKTTWAYddb</t>
  </si>
  <si>
    <t>HOXC10</t>
  </si>
  <si>
    <t>HXC10_HUMAN.H11MO.0.D</t>
  </si>
  <si>
    <t>P17481</t>
  </si>
  <si>
    <t>HXB8_HUMAN</t>
  </si>
  <si>
    <t>TTGATTRATKv</t>
  </si>
  <si>
    <t>HXB8_HUMAN.H11MO.0.C</t>
  </si>
  <si>
    <t>P09629</t>
  </si>
  <si>
    <t>HXB7_HUMAN</t>
  </si>
  <si>
    <t>WTGATTRATK</t>
  </si>
  <si>
    <t>HOXB7</t>
  </si>
  <si>
    <t>HXB7_HUMAN.H11MO.0.C</t>
  </si>
  <si>
    <t>P17509</t>
  </si>
  <si>
    <t>HXB6_HUMAN</t>
  </si>
  <si>
    <t>dWTGATTKATGCn</t>
  </si>
  <si>
    <t>HXB6_HUMAN.H11MO.0.D</t>
  </si>
  <si>
    <t>P17483</t>
  </si>
  <si>
    <t>HXB4_HUMAN</t>
  </si>
  <si>
    <t>bTAATKRS</t>
  </si>
  <si>
    <t>HOXB4</t>
  </si>
  <si>
    <t>HXB4_HUMAN.H11MO.0.B</t>
  </si>
  <si>
    <t>P14651</t>
  </si>
  <si>
    <t>HXB3_HUMAN</t>
  </si>
  <si>
    <t>hTAATKRbhhhWWh</t>
  </si>
  <si>
    <t>HOXB3</t>
  </si>
  <si>
    <t>HXB3_HUMAN.H11MO.0.D</t>
  </si>
  <si>
    <t>P14652</t>
  </si>
  <si>
    <t>HXB2_HUMAN</t>
  </si>
  <si>
    <t>HOX2{3.1.1.2}</t>
  </si>
  <si>
    <t>hvGAAbvTTCYAGAh</t>
  </si>
  <si>
    <t>HOXB2</t>
  </si>
  <si>
    <t>HXB2_HUMAN.H11MO.0.D</t>
  </si>
  <si>
    <t>P14653</t>
  </si>
  <si>
    <t>HXB1_HUMAN</t>
  </si>
  <si>
    <t>HOX1{3.1.1.1}</t>
  </si>
  <si>
    <t>WGATGGATGG</t>
  </si>
  <si>
    <t>HOXB1</t>
  </si>
  <si>
    <t>HXB1_HUMAN.H11MO.0.D</t>
  </si>
  <si>
    <t>Q92826</t>
  </si>
  <si>
    <t>HXB13_HUMAN</t>
  </si>
  <si>
    <t>YTTTATdRvn</t>
  </si>
  <si>
    <t>HOXB13</t>
  </si>
  <si>
    <t>HXB13_HUMAN.H11MO.0.A</t>
  </si>
  <si>
    <t>P31269</t>
  </si>
  <si>
    <t>HXA9_HUMAN</t>
  </si>
  <si>
    <t>dTGATTKAYdd</t>
  </si>
  <si>
    <t>HOXA9</t>
  </si>
  <si>
    <t>HXA9_HUMAN.H11MO.0.B</t>
  </si>
  <si>
    <t>P31268</t>
  </si>
  <si>
    <t>HXA7_HUMAN</t>
  </si>
  <si>
    <t>vhTMnMnMGAKTRvv</t>
  </si>
  <si>
    <t>HOXA7</t>
  </si>
  <si>
    <t>HXA7_HUMAN.H11MO.0.D</t>
  </si>
  <si>
    <t>P20719</t>
  </si>
  <si>
    <t>HXA5_HUMAN</t>
  </si>
  <si>
    <t>HOX5{3.1.1.5}</t>
  </si>
  <si>
    <t>YTvATTARYR</t>
  </si>
  <si>
    <t>HXA5_HUMAN.H11MO.0.D</t>
  </si>
  <si>
    <t>O43364</t>
  </si>
  <si>
    <t>HXA2_HUMAN</t>
  </si>
  <si>
    <t>nvTMATTAdnd</t>
  </si>
  <si>
    <t>HOXA2</t>
  </si>
  <si>
    <t>HXA2_HUMAN.H11MO.0.D</t>
  </si>
  <si>
    <t>P49639</t>
  </si>
  <si>
    <t>HXA1_HUMAN</t>
  </si>
  <si>
    <t>nTGATGGATG</t>
  </si>
  <si>
    <t>HOXA1</t>
  </si>
  <si>
    <t>HXA1_HUMAN.H11MO.0.C</t>
  </si>
  <si>
    <t>P31271</t>
  </si>
  <si>
    <t>HXA13_HUMAN</t>
  </si>
  <si>
    <t>vdTWTTATKGS</t>
  </si>
  <si>
    <t>HOXA13</t>
  </si>
  <si>
    <t>HXA13_HUMAN.H11MO.0.C</t>
  </si>
  <si>
    <t>P31270</t>
  </si>
  <si>
    <t>HXA11_HUMAN</t>
  </si>
  <si>
    <t>WWWhnWTTTAhdd</t>
  </si>
  <si>
    <t>HOXA11</t>
  </si>
  <si>
    <t>HXA11_HUMAN.H11MO.0.D</t>
  </si>
  <si>
    <t>P31260</t>
  </si>
  <si>
    <t>HXA10_HUMAN</t>
  </si>
  <si>
    <t>dnYnRTTTATGh</t>
  </si>
  <si>
    <t>HXA10_HUMAN.H11MO.0.C</t>
  </si>
  <si>
    <t>Q99081</t>
  </si>
  <si>
    <t>HTF4_HUMAN</t>
  </si>
  <si>
    <t>HTF-4 (TCF-12, HEB){1.2.1.0.3}</t>
  </si>
  <si>
    <t>nSCAGSTGKS</t>
  </si>
  <si>
    <t>TCF12</t>
  </si>
  <si>
    <t>HTF4_HUMAN.H11MO.0.A</t>
  </si>
  <si>
    <t>Q96LI6</t>
  </si>
  <si>
    <t>HSFY1_HUMAN</t>
  </si>
  <si>
    <t>159119; 86614</t>
  </si>
  <si>
    <t>18568; 23950</t>
  </si>
  <si>
    <t>HSFY1 (HSFY2, HSF2L){3.4.1.0.6}</t>
  </si>
  <si>
    <t>HSF factors{3.4.1}</t>
  </si>
  <si>
    <t>dWTMGAACGhdW</t>
  </si>
  <si>
    <t>HSFY1; HSFY2</t>
  </si>
  <si>
    <t>HSFY1_HUMAN.H11MO.0.D</t>
  </si>
  <si>
    <t>Q9ULV5</t>
  </si>
  <si>
    <t>HSF4_HUMAN</t>
  </si>
  <si>
    <t>HSF4 (HSTF4){3.4.1.0.3}</t>
  </si>
  <si>
    <t>hvGAAbvTTCYRGAW</t>
  </si>
  <si>
    <t>HSF4</t>
  </si>
  <si>
    <t>HSF4_HUMAN.H11MO.0.D</t>
  </si>
  <si>
    <t>Q03933</t>
  </si>
  <si>
    <t>HSF2_HUMAN</t>
  </si>
  <si>
    <t>HSF2 (HSTF2){3.4.1.0.2}</t>
  </si>
  <si>
    <t>vSRWbvWKSKvGRh</t>
  </si>
  <si>
    <t>HSF2</t>
  </si>
  <si>
    <t>HSF2_HUMAN.H11MO.0.A</t>
  </si>
  <si>
    <t>Q00613</t>
  </si>
  <si>
    <t>HSF1_HUMAN</t>
  </si>
  <si>
    <t>HSF1 (HSTF1){3.4.1.0.1}</t>
  </si>
  <si>
    <t>bKCTGGAAd</t>
  </si>
  <si>
    <t>HSF1</t>
  </si>
  <si>
    <t>HSF1_HUMAN.H11MO.1.A</t>
  </si>
  <si>
    <t>bRGAAnbWWCYRGAR</t>
  </si>
  <si>
    <t>HSF1_HUMAN.H11MO.0.A</t>
  </si>
  <si>
    <t>Q8IX15</t>
  </si>
  <si>
    <t>HOMEZ_HUMAN</t>
  </si>
  <si>
    <t>ZHX{3.1.8.5}</t>
  </si>
  <si>
    <t>ddWWATCGTTTWhhh</t>
  </si>
  <si>
    <t>HOMEZ</t>
  </si>
  <si>
    <t>HOMEZ_HUMAN.H11MO.0.D</t>
  </si>
  <si>
    <t>Q9UBC0</t>
  </si>
  <si>
    <t>HNF6_HUMAN</t>
  </si>
  <si>
    <t>hbYATTGATYd</t>
  </si>
  <si>
    <t>ONECUT1</t>
  </si>
  <si>
    <t>HNF6_HUMAN.H11MO.0.B</t>
  </si>
  <si>
    <t>Q14541</t>
  </si>
  <si>
    <t>HNF4G_HUMAN</t>
  </si>
  <si>
    <t>HNF-4 (NR2A){2.1.3.2}</t>
  </si>
  <si>
    <t>vRGdnCAAAGKbCR</t>
  </si>
  <si>
    <t>HNF4G</t>
  </si>
  <si>
    <t>HNF4G_HUMAN.H11MO.0.B</t>
  </si>
  <si>
    <t>P41235</t>
  </si>
  <si>
    <t>HNF4A_HUMAN</t>
  </si>
  <si>
    <t>vRGdnCAAAGTYCR</t>
  </si>
  <si>
    <t>HNF4A</t>
  </si>
  <si>
    <t>HNF4A_HUMAN.H11MO.0.A</t>
  </si>
  <si>
    <t>P35680</t>
  </si>
  <si>
    <t>HNF1B_HUMAN</t>
  </si>
  <si>
    <t>HNF1-like factors{3.1.10.7}</t>
  </si>
  <si>
    <t>dGTTAATnATT</t>
  </si>
  <si>
    <t>HNF1B</t>
  </si>
  <si>
    <t>HNF1B_HUMAN.H11MO.1.A</t>
  </si>
  <si>
    <t>dRTWAATGATTRMYh</t>
  </si>
  <si>
    <t>HNF1B_HUMAN.H11MO.0.A</t>
  </si>
  <si>
    <t>P20823</t>
  </si>
  <si>
    <t>HNF1A_HUMAN</t>
  </si>
  <si>
    <t>dRKWAATGWTTWRYh</t>
  </si>
  <si>
    <t>HNF1A</t>
  </si>
  <si>
    <t>HNF1A_HUMAN.H11MO.0.C</t>
  </si>
  <si>
    <t>A6NHT5</t>
  </si>
  <si>
    <t>HMX3_HUMAN</t>
  </si>
  <si>
    <t>NK-5/HMX{3.1.2.18}</t>
  </si>
  <si>
    <t>nnYTAATTGbh</t>
  </si>
  <si>
    <t>HMX3</t>
  </si>
  <si>
    <t>HMX3_HUMAN.H11MO.0.D</t>
  </si>
  <si>
    <t>A2RU54</t>
  </si>
  <si>
    <t>HMX2_HUMAN</t>
  </si>
  <si>
    <t>nWTAAKTGnbh</t>
  </si>
  <si>
    <t>HMX2</t>
  </si>
  <si>
    <t>HMX2_HUMAN.H11MO.0.D</t>
  </si>
  <si>
    <t>Q9NP08</t>
  </si>
  <si>
    <t>HMX1_HUMAN</t>
  </si>
  <si>
    <t>dYTAATTGnYnnWTWAK</t>
  </si>
  <si>
    <t>HMX1</t>
  </si>
  <si>
    <t>HMX1_HUMAN.H11MO.0.D</t>
  </si>
  <si>
    <t>P52926</t>
  </si>
  <si>
    <t>HMGA2_HUMAN</t>
  </si>
  <si>
    <t>HMGA2 (HMGI-C){8.2.1.0.2}</t>
  </si>
  <si>
    <t>HMGA factors{8.2.1}</t>
  </si>
  <si>
    <t>AATAWhSSSSAATAT</t>
  </si>
  <si>
    <t>HMGA2</t>
  </si>
  <si>
    <t>HMGA2_HUMAN.H11MO.0.D</t>
  </si>
  <si>
    <t>P17096</t>
  </si>
  <si>
    <t>HMGA1_HUMAN</t>
  </si>
  <si>
    <t>HMGA1 (HMGI(Y)){8.2.1.0.1}</t>
  </si>
  <si>
    <t>nWATTWd</t>
  </si>
  <si>
    <t>HMGA1</t>
  </si>
  <si>
    <t>HMGA1_HUMAN.H11MO.0.D</t>
  </si>
  <si>
    <t>P19622</t>
  </si>
  <si>
    <t>HME2_HUMAN</t>
  </si>
  <si>
    <t>EN (Engrailed-like factors){3.1.2.7}</t>
  </si>
  <si>
    <t>nnbRRTTRvnn</t>
  </si>
  <si>
    <t>EN2</t>
  </si>
  <si>
    <t>HME2_HUMAN.H11MO.0.D</t>
  </si>
  <si>
    <t>Q05925</t>
  </si>
  <si>
    <t>HME1_HUMAN</t>
  </si>
  <si>
    <t>vbTAATTAvbhhWWWWd</t>
  </si>
  <si>
    <t>EN1</t>
  </si>
  <si>
    <t>HME1_HUMAN.H11MO.0.D</t>
  </si>
  <si>
    <t>Q6NT76</t>
  </si>
  <si>
    <t>HMBX1_HUMAN</t>
  </si>
  <si>
    <t>dRYTRGTbA</t>
  </si>
  <si>
    <t>HMBOX1</t>
  </si>
  <si>
    <t>HMBX1_HUMAN.H11MO.0.D</t>
  </si>
  <si>
    <t>Q14527</t>
  </si>
  <si>
    <t>HLTF_HUMAN</t>
  </si>
  <si>
    <t>nAnGKCWGCAAM</t>
  </si>
  <si>
    <t>HLTF</t>
  </si>
  <si>
    <t>HLTF_HUMAN.H11MO.0.D</t>
  </si>
  <si>
    <t>Q16534</t>
  </si>
  <si>
    <t>HLF_HUMAN</t>
  </si>
  <si>
    <t>nRTKRYGTAAYvn</t>
  </si>
  <si>
    <t>HLF</t>
  </si>
  <si>
    <t>HLF_HUMAN.H11MO.0.C</t>
  </si>
  <si>
    <t>Q9BQA5</t>
  </si>
  <si>
    <t>HINFP_HUMAN</t>
  </si>
  <si>
    <t>HINFP-like factors{2.3.4.21}</t>
  </si>
  <si>
    <t>dhSnnvdCGGACGTWv</t>
  </si>
  <si>
    <t>HINFP</t>
  </si>
  <si>
    <t>HINFP_HUMAN.H11MO.0.C</t>
  </si>
  <si>
    <t>Q16665</t>
  </si>
  <si>
    <t>HIF1A_HUMAN</t>
  </si>
  <si>
    <t>Ahr-like factors{1.2.5.1}</t>
  </si>
  <si>
    <t>PAS domain factors{1.2.5}</t>
  </si>
  <si>
    <t>vdACGTGh</t>
  </si>
  <si>
    <t>HIF1A</t>
  </si>
  <si>
    <t>HIF1A_HUMAN.H11MO.0.C</t>
  </si>
  <si>
    <t>Q96JB3</t>
  </si>
  <si>
    <t>HIC2_HUMAN</t>
  </si>
  <si>
    <t>Hypermethylated in Cancer proteins{2.3.4.17}</t>
  </si>
  <si>
    <t>nhRTGCCAGnn</t>
  </si>
  <si>
    <t>HIC2</t>
  </si>
  <si>
    <t>HIC2_HUMAN.H11MO.0.D</t>
  </si>
  <si>
    <t>Q14526</t>
  </si>
  <si>
    <t>HIC1_HUMAN</t>
  </si>
  <si>
    <t>dKGKTGCCM</t>
  </si>
  <si>
    <t>HIC1</t>
  </si>
  <si>
    <t>HIC1_HUMAN.H11MO.0.C</t>
  </si>
  <si>
    <t>Q9UBP5</t>
  </si>
  <si>
    <t>HEY2_HUMAN</t>
  </si>
  <si>
    <t>Hairy-like factors{1.2.4.1}</t>
  </si>
  <si>
    <t>Hairy-related factors{1.2.4}</t>
  </si>
  <si>
    <t>GKKSGCWCGTGSCnYKv</t>
  </si>
  <si>
    <t>HEY2</t>
  </si>
  <si>
    <t>HEY2_HUMAN.H11MO.0.D</t>
  </si>
  <si>
    <t>Q9Y5J3</t>
  </si>
  <si>
    <t>HEY1_HUMAN</t>
  </si>
  <si>
    <t>bKRCACGTGbSd</t>
  </si>
  <si>
    <t>HEY1</t>
  </si>
  <si>
    <t>HEY1_HUMAN.H11MO.0.D</t>
  </si>
  <si>
    <t>Q9UBX0</t>
  </si>
  <si>
    <t>HESX1_HUMAN</t>
  </si>
  <si>
    <t>HESX{3.1.3.10}</t>
  </si>
  <si>
    <t>nKCYGRCWCnTRRnhY</t>
  </si>
  <si>
    <t>HESX1</t>
  </si>
  <si>
    <t>HESX1_HUMAN.H11MO.0.D</t>
  </si>
  <si>
    <t>Q9BYE0</t>
  </si>
  <si>
    <t>HES7_HUMAN</t>
  </si>
  <si>
    <t>WGGCACGTGCCd</t>
  </si>
  <si>
    <t>HES7</t>
  </si>
  <si>
    <t>HES7_HUMAN.H11MO.0.D</t>
  </si>
  <si>
    <t>Q5TA89</t>
  </si>
  <si>
    <t>HES5_HUMAN</t>
  </si>
  <si>
    <t>hGGCACGTGYCd</t>
  </si>
  <si>
    <t>HES5</t>
  </si>
  <si>
    <t>HES5_HUMAN.H11MO.0.D</t>
  </si>
  <si>
    <t>Q14469</t>
  </si>
  <si>
    <t>HES1_HUMAN</t>
  </si>
  <si>
    <t>vMSvCAMKvGMhv</t>
  </si>
  <si>
    <t>HES1_HUMAN.H11MO.0.D</t>
  </si>
  <si>
    <t>Q02575</t>
  </si>
  <si>
    <t>HEN1_HUMAN</t>
  </si>
  <si>
    <t>bKGGnMbCAGCTGCGKCYhh</t>
  </si>
  <si>
    <t>NHLH1</t>
  </si>
  <si>
    <t>HEN1_HUMAN.H11MO.0.C</t>
  </si>
  <si>
    <t>O60381</t>
  </si>
  <si>
    <t>HBP1_HUMAN</t>
  </si>
  <si>
    <t>Further Sox-related factors{4.1.1.9}</t>
  </si>
  <si>
    <t>RnYSATTGA</t>
  </si>
  <si>
    <t>HBP1</t>
  </si>
  <si>
    <t>HBP1_HUMAN.H11MO.0.D</t>
  </si>
  <si>
    <t>O96004</t>
  </si>
  <si>
    <t>HAND1_HUMAN</t>
  </si>
  <si>
    <t>dSYCTGS</t>
  </si>
  <si>
    <t>HAND1</t>
  </si>
  <si>
    <t>HAND1_HUMAN.H11MO.1.D</t>
  </si>
  <si>
    <t>ddbYCTGShhWnYvTCW</t>
  </si>
  <si>
    <t>HAND1_HUMAN.H11MO.0.D</t>
  </si>
  <si>
    <t>Q9BZM3</t>
  </si>
  <si>
    <t>GSX2_HUMAN</t>
  </si>
  <si>
    <t>GSX{3.1.1.12}</t>
  </si>
  <si>
    <t>bTAATKRvnddWWWAY</t>
  </si>
  <si>
    <t>GSX2</t>
  </si>
  <si>
    <t>GSX2_HUMAN.H11MO.0.D</t>
  </si>
  <si>
    <t>Q9H4S2</t>
  </si>
  <si>
    <t>GSX1_HUMAN</t>
  </si>
  <si>
    <t>hRATKRvndddWdRK</t>
  </si>
  <si>
    <t>GSX1</t>
  </si>
  <si>
    <t>GSX1_HUMAN.H11MO.0.D</t>
  </si>
  <si>
    <t>P56915</t>
  </si>
  <si>
    <t>GSC_HUMAN</t>
  </si>
  <si>
    <t>GSC{3.1.3.9}</t>
  </si>
  <si>
    <t>ddvGGATTAdb</t>
  </si>
  <si>
    <t>GSC</t>
  </si>
  <si>
    <t>GSC_HUMAN.H11MO.0.D</t>
  </si>
  <si>
    <t>O15499</t>
  </si>
  <si>
    <t>GSC2_HUMAN</t>
  </si>
  <si>
    <t>ddvGGATKRRn</t>
  </si>
  <si>
    <t>GSC2</t>
  </si>
  <si>
    <t>GSC2_HUMAN.H11MO.0.D</t>
  </si>
  <si>
    <t>Q6ISB3</t>
  </si>
  <si>
    <t>GRHL2_HUMAN</t>
  </si>
  <si>
    <t>GRH-like proteins{6.7.1.1}</t>
  </si>
  <si>
    <t>Grainyhead-related factors{6.7.1}</t>
  </si>
  <si>
    <t>RWCYdGTYbddC</t>
  </si>
  <si>
    <t>GRHL2</t>
  </si>
  <si>
    <t>GRHL2_HUMAN.H11MO.0.A</t>
  </si>
  <si>
    <t>Q9NZI5</t>
  </si>
  <si>
    <t>GRHL1_HUMAN</t>
  </si>
  <si>
    <t>WWCCWGTYYbnY</t>
  </si>
  <si>
    <t>GRHL1</t>
  </si>
  <si>
    <t>GRHL1_HUMAN.H11MO.0.D</t>
  </si>
  <si>
    <t>Q9UKD1</t>
  </si>
  <si>
    <t>GMEB2_HUMAN</t>
  </si>
  <si>
    <t>GMEB{5.3.3.1}</t>
  </si>
  <si>
    <t>GMEB{5.3.3}</t>
  </si>
  <si>
    <t>nndTACGTvvn</t>
  </si>
  <si>
    <t>GMEB2</t>
  </si>
  <si>
    <t>GMEB2_HUMAN.H11MO.0.D</t>
  </si>
  <si>
    <t>Q8NEA6</t>
  </si>
  <si>
    <t>GLIS3_HUMAN</t>
  </si>
  <si>
    <t>SYGGGGGGTM</t>
  </si>
  <si>
    <t>GLIS3</t>
  </si>
  <si>
    <t>GLIS3_HUMAN.H11MO.0.D</t>
  </si>
  <si>
    <t>Q9BZE0</t>
  </si>
  <si>
    <t>GLIS2_HUMAN</t>
  </si>
  <si>
    <t>SdhYGYGGGGGGTv</t>
  </si>
  <si>
    <t>GLIS2</t>
  </si>
  <si>
    <t>GLIS2_HUMAN.H11MO.0.D</t>
  </si>
  <si>
    <t>Q8NBF1</t>
  </si>
  <si>
    <t>GLIS1_HUMAN</t>
  </si>
  <si>
    <t>hYGYGGGGGGTMd</t>
  </si>
  <si>
    <t>GLIS1</t>
  </si>
  <si>
    <t>GLIS1_HUMAN.H11MO.0.D</t>
  </si>
  <si>
    <t>P10071</t>
  </si>
  <si>
    <t>GLI3_HUMAN</t>
  </si>
  <si>
    <t>nTGGGTGGTYb</t>
  </si>
  <si>
    <t>GLI3</t>
  </si>
  <si>
    <t>GLI3_HUMAN.H11MO.0.B</t>
  </si>
  <si>
    <t>P10070</t>
  </si>
  <si>
    <t>GLI2_HUMAN</t>
  </si>
  <si>
    <t>STGGGTGGTCb</t>
  </si>
  <si>
    <t>GLI2</t>
  </si>
  <si>
    <t>GLI2_HUMAN.H11MO.0.D</t>
  </si>
  <si>
    <t>P08151</t>
  </si>
  <si>
    <t>GLI1_HUMAN</t>
  </si>
  <si>
    <t>bSTGGGTGGYCh</t>
  </si>
  <si>
    <t>GLI1</t>
  </si>
  <si>
    <t>GLI1_HUMAN.H11MO.0.D</t>
  </si>
  <si>
    <t>Q99684</t>
  </si>
  <si>
    <t>GFI1_HUMAN</t>
  </si>
  <si>
    <t>GFI1 factors{2.3.3.21}</t>
  </si>
  <si>
    <t>RShSWGATTb</t>
  </si>
  <si>
    <t>GFI1</t>
  </si>
  <si>
    <t>GFI1_HUMAN.H11MO.0.C</t>
  </si>
  <si>
    <t>Q5VTD9</t>
  </si>
  <si>
    <t>GFI1B_HUMAN</t>
  </si>
  <si>
    <t>RYWSWGATTK</t>
  </si>
  <si>
    <t>GFI1B</t>
  </si>
  <si>
    <t>GFI1B_HUMAN.H11MO.0.A</t>
  </si>
  <si>
    <t>P04150</t>
  </si>
  <si>
    <t>GCR_HUMAN</t>
  </si>
  <si>
    <t>hvRGRACAbdvh</t>
  </si>
  <si>
    <t>NR3C1</t>
  </si>
  <si>
    <t>GCR_HUMAN.H11MO.1.A</t>
  </si>
  <si>
    <t>dGdACWnAvWGTnCh</t>
  </si>
  <si>
    <t>GCR_HUMAN.H11MO.0.A</t>
  </si>
  <si>
    <t>O75603</t>
  </si>
  <si>
    <t>GCM2_HUMAN</t>
  </si>
  <si>
    <t>GCMb (GCM2){7.2.1.0.2}</t>
  </si>
  <si>
    <t>GCM factors{7.2.1}</t>
  </si>
  <si>
    <t>bRTGCGGGTdn</t>
  </si>
  <si>
    <t>GCM2</t>
  </si>
  <si>
    <t>GCM2_HUMAN.H11MO.0.D</t>
  </si>
  <si>
    <t>Q9NP62</t>
  </si>
  <si>
    <t>GCM1_HUMAN</t>
  </si>
  <si>
    <t>GCMa (GCM1){7.2.1.0.1}</t>
  </si>
  <si>
    <t>hWnATGMKGGYhbb</t>
  </si>
  <si>
    <t>GCM1</t>
  </si>
  <si>
    <t>GCM1_HUMAN.H11MO.0.D</t>
  </si>
  <si>
    <t>P52951</t>
  </si>
  <si>
    <t>GBX2_HUMAN</t>
  </si>
  <si>
    <t>GBX (Gastrulation brain homeobox){3.1.1.11}</t>
  </si>
  <si>
    <t>bYAATTRvbnhhhWWWd</t>
  </si>
  <si>
    <t>GBX2</t>
  </si>
  <si>
    <t>GBX2_HUMAN.H11MO.0.D</t>
  </si>
  <si>
    <t>Q14549</t>
  </si>
  <si>
    <t>GBX1_HUMAN</t>
  </si>
  <si>
    <t>bTAATTAvbnhhWWWdd</t>
  </si>
  <si>
    <t>GBX1</t>
  </si>
  <si>
    <t>GBX1_HUMAN.H11MO.0.D</t>
  </si>
  <si>
    <t>Q92908</t>
  </si>
  <si>
    <t>GATA6_HUMAN</t>
  </si>
  <si>
    <t>Two zinc-finger GATA factors{2.2.1.1}</t>
  </si>
  <si>
    <t>GATA-type zinc fingers{2.2.1}</t>
  </si>
  <si>
    <t>dvAGATAAGRddd</t>
  </si>
  <si>
    <t>GATA6</t>
  </si>
  <si>
    <t>GATA6_HUMAN.H11MO.0.A</t>
  </si>
  <si>
    <t>Q9BWX5</t>
  </si>
  <si>
    <t>GATA5_HUMAN</t>
  </si>
  <si>
    <t>WvMnWGATAWbnhdRhd</t>
  </si>
  <si>
    <t>GATA5</t>
  </si>
  <si>
    <t>GATA5_HUMAN.H11MO.0.D</t>
  </si>
  <si>
    <t>P43694</t>
  </si>
  <si>
    <t>GATA4_HUMAN</t>
  </si>
  <si>
    <t>dvWGATAASR</t>
  </si>
  <si>
    <t>GATA4</t>
  </si>
  <si>
    <t>GATA4_HUMAN.H11MO.0.A</t>
  </si>
  <si>
    <t>P23771</t>
  </si>
  <si>
    <t>GATA3_HUMAN</t>
  </si>
  <si>
    <t>dvAGATAAvvd</t>
  </si>
  <si>
    <t>GATA3</t>
  </si>
  <si>
    <t>GATA3_HUMAN.H11MO.0.A</t>
  </si>
  <si>
    <t>P23769</t>
  </si>
  <si>
    <t>GATA2_HUMAN</t>
  </si>
  <si>
    <t>dvAGATAASvd</t>
  </si>
  <si>
    <t>GATA2</t>
  </si>
  <si>
    <t>GATA2_HUMAN.H11MO.1.A</t>
  </si>
  <si>
    <t>bKKbnnnnndvAGATAASv</t>
  </si>
  <si>
    <t>GATA2_HUMAN.H11MO.0.A</t>
  </si>
  <si>
    <t>P15976</t>
  </si>
  <si>
    <t>GATA1_HUMAN</t>
  </si>
  <si>
    <t>dvWGATAASvv</t>
  </si>
  <si>
    <t>GATA1</t>
  </si>
  <si>
    <t>GATA1_HUMAN.H11MO.1.A</t>
  </si>
  <si>
    <t>bbKbnnnnnnvWGATAAvv</t>
  </si>
  <si>
    <t>GATA1_HUMAN.H11MO.0.A</t>
  </si>
  <si>
    <t>Q06546</t>
  </si>
  <si>
    <t>GABPA_HUMAN</t>
  </si>
  <si>
    <t>Ets-like factors{3.5.2.1}</t>
  </si>
  <si>
    <t>vvnvSCGGAAGYvv</t>
  </si>
  <si>
    <t>GABPA</t>
  </si>
  <si>
    <t>GABPA_HUMAN.H11MO.0.A</t>
  </si>
  <si>
    <t>Q96AE4</t>
  </si>
  <si>
    <t>FUBP1_HUMAN</t>
  </si>
  <si>
    <t>TYGTnhKTbKKK</t>
  </si>
  <si>
    <t>FUBP1</t>
  </si>
  <si>
    <t>FUBP1_HUMAN.H11MO.0.D</t>
  </si>
  <si>
    <t>Q9C009</t>
  </si>
  <si>
    <t>FOXQ1_HUMAN</t>
  </si>
  <si>
    <t>FOXQ{3.3.1.17}</t>
  </si>
  <si>
    <t>Forkhead box (FOX) factors{3.3.1}</t>
  </si>
  <si>
    <t>nRTTGTTTATKT</t>
  </si>
  <si>
    <t>FOXQ1</t>
  </si>
  <si>
    <t>FOXQ1_HUMAN.H11MO.0.C</t>
  </si>
  <si>
    <t>Q9BZS1</t>
  </si>
  <si>
    <t>FOXP3_HUMAN</t>
  </si>
  <si>
    <t>FOXP{3.3.1.16}</t>
  </si>
  <si>
    <t>WATKTGWTT</t>
  </si>
  <si>
    <t>FOXP3</t>
  </si>
  <si>
    <t>FOXP3_HUMAN.H11MO.0.D</t>
  </si>
  <si>
    <t>O15409</t>
  </si>
  <si>
    <t>FOXP2_HUMAN</t>
  </si>
  <si>
    <t>bTGTTTMCh</t>
  </si>
  <si>
    <t>FOXP2</t>
  </si>
  <si>
    <t>FOXP2_HUMAN.H11MO.0.C</t>
  </si>
  <si>
    <t>Q9H334</t>
  </si>
  <si>
    <t>FOXP1_HUMAN</t>
  </si>
  <si>
    <t>KbTGTTTMY</t>
  </si>
  <si>
    <t>FOXP1</t>
  </si>
  <si>
    <t>FOXP1_HUMAN.H11MO.0.A</t>
  </si>
  <si>
    <t>A8MYZ6</t>
  </si>
  <si>
    <t>FOXO6_HUMAN</t>
  </si>
  <si>
    <t>FOXO{3.3.1.15}</t>
  </si>
  <si>
    <t>dhbWTGTTTACdh</t>
  </si>
  <si>
    <t>FOXO6</t>
  </si>
  <si>
    <t>FOXO6_HUMAN.H11MO.0.D</t>
  </si>
  <si>
    <t>P98177</t>
  </si>
  <si>
    <t>FOXO4_HUMAN</t>
  </si>
  <si>
    <t>bTGTTTAbK</t>
  </si>
  <si>
    <t>FOXO4</t>
  </si>
  <si>
    <t>FOXO4_HUMAN.H11MO.0.C</t>
  </si>
  <si>
    <t>O43524</t>
  </si>
  <si>
    <t>FOXO3_HUMAN</t>
  </si>
  <si>
    <t>bbTGTTTWCh</t>
  </si>
  <si>
    <t>FOXO3</t>
  </si>
  <si>
    <t>FOXO3_HUMAN.H11MO.0.B</t>
  </si>
  <si>
    <t>Q12778</t>
  </si>
  <si>
    <t>FOXO1_HUMAN</t>
  </si>
  <si>
    <t>dbbbTGTTKhYn</t>
  </si>
  <si>
    <t>FOXO1</t>
  </si>
  <si>
    <t>FOXO1_HUMAN.H11MO.0.A</t>
  </si>
  <si>
    <t>Q08050</t>
  </si>
  <si>
    <t>FOXM1_HUMAN</t>
  </si>
  <si>
    <t>FOXM{3.3.1.13}</t>
  </si>
  <si>
    <t>TRTTTRYWbWbn</t>
  </si>
  <si>
    <t>FOXM1</t>
  </si>
  <si>
    <t>FOXM1_HUMAN.H11MO.0.A</t>
  </si>
  <si>
    <t>Q12952</t>
  </si>
  <si>
    <t>FOXL1_HUMAN</t>
  </si>
  <si>
    <t>FOXL{3.3.1.12}</t>
  </si>
  <si>
    <t>bbWTTGTTTGTTTAYWTTW</t>
  </si>
  <si>
    <t>FOXL1</t>
  </si>
  <si>
    <t>FOXL1_HUMAN.H11MO.0.D</t>
  </si>
  <si>
    <t>P85037</t>
  </si>
  <si>
    <t>FOXK1_HUMAN</t>
  </si>
  <si>
    <t>FOXK{3.3.1.11}</t>
  </si>
  <si>
    <t>TGTTThYhhb</t>
  </si>
  <si>
    <t>FOXK1_HUMAN.H11MO.0.A</t>
  </si>
  <si>
    <t>Q9UPW0</t>
  </si>
  <si>
    <t>FOXJ3_HUMAN</t>
  </si>
  <si>
    <t>FOXJ{3.3.1.10}</t>
  </si>
  <si>
    <t>WKKTTWWTGTTTW</t>
  </si>
  <si>
    <t>FOXJ3_HUMAN.H11MO.1.B</t>
  </si>
  <si>
    <t>dTGTTTATKKTTd</t>
  </si>
  <si>
    <t>FOXJ3_HUMAN.H11MO.0.A</t>
  </si>
  <si>
    <t>Q9P0K8</t>
  </si>
  <si>
    <t>FOXJ2_HUMAN</t>
  </si>
  <si>
    <t>TRTTTATYTd</t>
  </si>
  <si>
    <t>FOXJ2</t>
  </si>
  <si>
    <t>FOXJ2_HUMAN.H11MO.0.C</t>
  </si>
  <si>
    <t>Q12951</t>
  </si>
  <si>
    <t>FOXI1_HUMAN</t>
  </si>
  <si>
    <t>FOXI{3.3.1.9}</t>
  </si>
  <si>
    <t>hWbTGATTGGYb</t>
  </si>
  <si>
    <t>FOXI1</t>
  </si>
  <si>
    <t>FOXI1_HUMAN.H11MO.0.B</t>
  </si>
  <si>
    <t>O75593</t>
  </si>
  <si>
    <t>FOXH1_HUMAN</t>
  </si>
  <si>
    <t>FOXH{3.3.1.8}</t>
  </si>
  <si>
    <t>WGTGKATTb</t>
  </si>
  <si>
    <t>FOXH1</t>
  </si>
  <si>
    <t>FOXH1_HUMAN.H11MO.0.A</t>
  </si>
  <si>
    <t>P55316</t>
  </si>
  <si>
    <t>FOXG1_HUMAN</t>
  </si>
  <si>
    <t>FOXG{3.3.1.7}</t>
  </si>
  <si>
    <t>dWTGTTTMYdWdTdKWb</t>
  </si>
  <si>
    <t>FOXG1</t>
  </si>
  <si>
    <t>FOXG1_HUMAN.H11MO.0.D</t>
  </si>
  <si>
    <t>Q12947</t>
  </si>
  <si>
    <t>FOXF2_HUMAN</t>
  </si>
  <si>
    <t>FOXF{3.3.1.6}</t>
  </si>
  <si>
    <t>TGTTTAChTWd</t>
  </si>
  <si>
    <t>FOXF2</t>
  </si>
  <si>
    <t>FOXF2_HUMAN.H11MO.0.D</t>
  </si>
  <si>
    <t>Q12946</t>
  </si>
  <si>
    <t>FOXF1_HUMAN</t>
  </si>
  <si>
    <t>nTGTTTATbWW</t>
  </si>
  <si>
    <t>FOXF1</t>
  </si>
  <si>
    <t>FOXF1_HUMAN.H11MO.0.D</t>
  </si>
  <si>
    <t>Q9UJU5</t>
  </si>
  <si>
    <t>FOXD3_HUMAN</t>
  </si>
  <si>
    <t>FOXD{3.3.1.4}</t>
  </si>
  <si>
    <t>bbTGTTTnYhYddbh</t>
  </si>
  <si>
    <t>FOXD3</t>
  </si>
  <si>
    <t>FOXD3_HUMAN.H11MO.0.D</t>
  </si>
  <si>
    <t>O60548</t>
  </si>
  <si>
    <t>FOXD2_HUMAN</t>
  </si>
  <si>
    <t>WRdRTMAATRTTWWYdTAR</t>
  </si>
  <si>
    <t>FOXD2</t>
  </si>
  <si>
    <t>FOXD2_HUMAN.H11MO.0.D</t>
  </si>
  <si>
    <t>Q16676</t>
  </si>
  <si>
    <t>FOXD1_HUMAN</t>
  </si>
  <si>
    <t>nhhTSTTTAChWhvR</t>
  </si>
  <si>
    <t>FOXD1</t>
  </si>
  <si>
    <t>FOXD1_HUMAN.H11MO.0.D</t>
  </si>
  <si>
    <t>Q99958</t>
  </si>
  <si>
    <t>FOXC2_HUMAN</t>
  </si>
  <si>
    <t>FOXC{3.3.1.3}</t>
  </si>
  <si>
    <t>KhTTGTTdTGYCAGd</t>
  </si>
  <si>
    <t>FOXC2</t>
  </si>
  <si>
    <t>FOXC2_HUMAN.H11MO.0.D</t>
  </si>
  <si>
    <t>Q12948</t>
  </si>
  <si>
    <t>FOXC1_HUMAN</t>
  </si>
  <si>
    <t>bnhTGTTTACWTAvS</t>
  </si>
  <si>
    <t>FOXC1_HUMAN.H11MO.0.C</t>
  </si>
  <si>
    <t>Q99853</t>
  </si>
  <si>
    <t>FOXB1_HUMAN</t>
  </si>
  <si>
    <t>FOXB{3.3.1.2}</t>
  </si>
  <si>
    <t>dbvWWTATTTACATWRb</t>
  </si>
  <si>
    <t>FOXB1</t>
  </si>
  <si>
    <t>FOXB1_HUMAN.H11MO.0.D</t>
  </si>
  <si>
    <t>P55318</t>
  </si>
  <si>
    <t>FOXA3_HUMAN</t>
  </si>
  <si>
    <t>FOXA{3.3.1.1}</t>
  </si>
  <si>
    <t>bhTGTTTACWbWd</t>
  </si>
  <si>
    <t>FOXA3</t>
  </si>
  <si>
    <t>FOXA3_HUMAN.H11MO.0.B</t>
  </si>
  <si>
    <t>Q9Y261</t>
  </si>
  <si>
    <t>FOXA2_HUMAN</t>
  </si>
  <si>
    <t>TGTTTACWbWdb</t>
  </si>
  <si>
    <t>FOXA2</t>
  </si>
  <si>
    <t>FOXA2_HUMAN.H11MO.0.A</t>
  </si>
  <si>
    <t>P55317</t>
  </si>
  <si>
    <t>FOXA1_HUMAN</t>
  </si>
  <si>
    <t>TGTTTACWYWdb</t>
  </si>
  <si>
    <t>FOXA1</t>
  </si>
  <si>
    <t>FOXA1_HUMAN.H11MO.0.A</t>
  </si>
  <si>
    <t>P01100</t>
  </si>
  <si>
    <t>FOS_HUMAN</t>
  </si>
  <si>
    <t>Fos factors{1.1.2.1}</t>
  </si>
  <si>
    <t>vTGAGTCAb</t>
  </si>
  <si>
    <t>FOS</t>
  </si>
  <si>
    <t>FOS_HUMAN.H11MO.0.A</t>
  </si>
  <si>
    <t>P15408</t>
  </si>
  <si>
    <t>FOSL2_HUMAN</t>
  </si>
  <si>
    <t>ndRTGAGTCAYh</t>
  </si>
  <si>
    <t>FOSL2</t>
  </si>
  <si>
    <t>FOSL2_HUMAN.H11MO.0.A</t>
  </si>
  <si>
    <t>P15407</t>
  </si>
  <si>
    <t>FOSL1_HUMAN</t>
  </si>
  <si>
    <t>ddvTGAGTCAbh</t>
  </si>
  <si>
    <t>FOSL1</t>
  </si>
  <si>
    <t>FOSL1_HUMAN.H11MO.0.A</t>
  </si>
  <si>
    <t>P53539</t>
  </si>
  <si>
    <t>FOSB_HUMAN</t>
  </si>
  <si>
    <t>FOSB</t>
  </si>
  <si>
    <t>FOSB_HUMAN.H11MO.0.A</t>
  </si>
  <si>
    <t>Q01543</t>
  </si>
  <si>
    <t>FLI1_HUMAN</t>
  </si>
  <si>
    <t>vdRSAGGAAGbvd</t>
  </si>
  <si>
    <t>FLI1</t>
  </si>
  <si>
    <t>FLI1_HUMAN.H11MO.1.A</t>
  </si>
  <si>
    <t>vvdRRMAGGAAGbvRvvv</t>
  </si>
  <si>
    <t>FLI1_HUMAN.H11MO.0.A</t>
  </si>
  <si>
    <t>Q6QHK4</t>
  </si>
  <si>
    <t>FIGLA_HUMAN</t>
  </si>
  <si>
    <t>dnhCAGGTGbd</t>
  </si>
  <si>
    <t>FIGLA</t>
  </si>
  <si>
    <t>FIGLA_HUMAN.H11MO.0.D</t>
  </si>
  <si>
    <t>A0PJY2</t>
  </si>
  <si>
    <t>FEZF1_HUMAN</t>
  </si>
  <si>
    <t>FEZF factors{2.3.3.20}</t>
  </si>
  <si>
    <t>dhTGYYYWTTYh</t>
  </si>
  <si>
    <t>FEZF1</t>
  </si>
  <si>
    <t>FEZF1_HUMAN.H11MO.0.C</t>
  </si>
  <si>
    <t>Q99581</t>
  </si>
  <si>
    <t>FEV_HUMAN</t>
  </si>
  <si>
    <t>vvvRGARRhS</t>
  </si>
  <si>
    <t>FEV</t>
  </si>
  <si>
    <t>FEV_HUMAN.H11MO.0.B</t>
  </si>
  <si>
    <t>Q03112</t>
  </si>
  <si>
    <t>EVI1_HUMAN</t>
  </si>
  <si>
    <t>Evi-1-like factors{2.3.4.14}</t>
  </si>
  <si>
    <t>dWGAYAAGATAAnMbd</t>
  </si>
  <si>
    <t>MECOM</t>
  </si>
  <si>
    <t>EVI1_HUMAN.H11MO.0.B</t>
  </si>
  <si>
    <t>Q9Y603</t>
  </si>
  <si>
    <t>ETV7_HUMAN</t>
  </si>
  <si>
    <t>ETV6-like factors{3.5.2.6}</t>
  </si>
  <si>
    <t>vRGGAAR</t>
  </si>
  <si>
    <t>ETV7</t>
  </si>
  <si>
    <t>ETV7_HUMAN.H11MO.0.D</t>
  </si>
  <si>
    <t>P41212</t>
  </si>
  <si>
    <t>ETV6_HUMAN</t>
  </si>
  <si>
    <t>dSAGGAARb</t>
  </si>
  <si>
    <t>ETV6</t>
  </si>
  <si>
    <t>ETV6_HUMAN.H11MO.0.D</t>
  </si>
  <si>
    <t>P41161</t>
  </si>
  <si>
    <t>ETV5_HUMAN</t>
  </si>
  <si>
    <t>Elk-like factors{3.5.2.2}</t>
  </si>
  <si>
    <t>vddvAGGRARddvv</t>
  </si>
  <si>
    <t>ETV5</t>
  </si>
  <si>
    <t>ETV5_HUMAN.H11MO.0.C</t>
  </si>
  <si>
    <t>P43268</t>
  </si>
  <si>
    <t>ETV4_HUMAN</t>
  </si>
  <si>
    <t>vdSAGGAARbd</t>
  </si>
  <si>
    <t>ETV4</t>
  </si>
  <si>
    <t>ETV4_HUMAN.H11MO.0.B</t>
  </si>
  <si>
    <t>P41162</t>
  </si>
  <si>
    <t>ETV3_HUMAN</t>
  </si>
  <si>
    <t>dnhdTdTGCACYTY</t>
  </si>
  <si>
    <t>ETV3</t>
  </si>
  <si>
    <t>ETV3_HUMAN.H11MO.0.D</t>
  </si>
  <si>
    <t>O00321</t>
  </si>
  <si>
    <t>ETV2_HUMAN</t>
  </si>
  <si>
    <t>vvvRRCAGGAARYvSv</t>
  </si>
  <si>
    <t>ETV2</t>
  </si>
  <si>
    <t>ETV2_HUMAN.H11MO.0.B</t>
  </si>
  <si>
    <t>P50549</t>
  </si>
  <si>
    <t>ETV1_HUMAN</t>
  </si>
  <si>
    <t>vvCCGGAAGbv</t>
  </si>
  <si>
    <t>ETV1</t>
  </si>
  <si>
    <t>ETV1_HUMAN.H11MO.0.A</t>
  </si>
  <si>
    <t>P15036</t>
  </si>
  <si>
    <t>ETS2_HUMAN</t>
  </si>
  <si>
    <t>ddvdRGAARvRdv</t>
  </si>
  <si>
    <t>ETS2_HUMAN.H11MO.0.B</t>
  </si>
  <si>
    <t>P14921</t>
  </si>
  <si>
    <t>ETS1_HUMAN</t>
  </si>
  <si>
    <t>vvRSMGGAAGYRR</t>
  </si>
  <si>
    <t>ETS1</t>
  </si>
  <si>
    <t>ETS1_HUMAN.H11MO.0.A</t>
  </si>
  <si>
    <t>Q8N693</t>
  </si>
  <si>
    <t>ESX1_HUMAN</t>
  </si>
  <si>
    <t>ESX{3.1.3.8}</t>
  </si>
  <si>
    <t>vbTAATTAvbnhWWWWd</t>
  </si>
  <si>
    <t>ESX1</t>
  </si>
  <si>
    <t>ESX1_HUMAN.H11MO.0.D</t>
  </si>
  <si>
    <t>Q92731</t>
  </si>
  <si>
    <t>ESR2_HUMAN</t>
  </si>
  <si>
    <t>ER-like receptors (NR3A&amp;B){2.1.1.2}</t>
  </si>
  <si>
    <t>RGGTCAS</t>
  </si>
  <si>
    <t>ESR2</t>
  </si>
  <si>
    <t>ESR2_HUMAN.H11MO.1.A</t>
  </si>
  <si>
    <t>RGGbCRbCbYGhCCY</t>
  </si>
  <si>
    <t>ESR2_HUMAN.H11MO.0.A</t>
  </si>
  <si>
    <t>P03372</t>
  </si>
  <si>
    <t>ESR1_HUMAN</t>
  </si>
  <si>
    <t>hhRGGTCAbv</t>
  </si>
  <si>
    <t>ESR1</t>
  </si>
  <si>
    <t>ESR1_HUMAN.H11MO.1.A</t>
  </si>
  <si>
    <t>RGGKCAbCvWGMCCY</t>
  </si>
  <si>
    <t>ESR1_HUMAN.H11MO.0.A</t>
  </si>
  <si>
    <t>P62508</t>
  </si>
  <si>
    <t>ERR3_HUMAN</t>
  </si>
  <si>
    <t>TYAAGGTCA</t>
  </si>
  <si>
    <t>ESRRG</t>
  </si>
  <si>
    <t>ERR3_HUMAN.H11MO.0.B</t>
  </si>
  <si>
    <t>O95718</t>
  </si>
  <si>
    <t>ERR2_HUMAN</t>
  </si>
  <si>
    <t>bSAAGGTCA</t>
  </si>
  <si>
    <t>ESRRB</t>
  </si>
  <si>
    <t>ERR2_HUMAN.H11MO.0.A</t>
  </si>
  <si>
    <t>P11474</t>
  </si>
  <si>
    <t>ERR1_HUMAN</t>
  </si>
  <si>
    <t>bYSAAGGTCAhhndv</t>
  </si>
  <si>
    <t>ESRRA</t>
  </si>
  <si>
    <t>ERR1_HUMAN.H11MO.0.A</t>
  </si>
  <si>
    <t>P11308</t>
  </si>
  <si>
    <t>ERG_HUMAN</t>
  </si>
  <si>
    <t>vvRSAGGAAGbvv</t>
  </si>
  <si>
    <t>ERG</t>
  </si>
  <si>
    <t>ERG_HUMAN.H11MO.0.A</t>
  </si>
  <si>
    <t>Q99814</t>
  </si>
  <si>
    <t>EPAS1_HUMAN</t>
  </si>
  <si>
    <t>vdACGTGhh</t>
  </si>
  <si>
    <t>EPAS1_HUMAN.H11MO.0.B</t>
  </si>
  <si>
    <t>O95936</t>
  </si>
  <si>
    <t>EOMES_HUMAN</t>
  </si>
  <si>
    <t>TBR-2 (EOMES){6.5.2.0.2}</t>
  </si>
  <si>
    <t>ddvARGTGhbAR</t>
  </si>
  <si>
    <t>EOMES</t>
  </si>
  <si>
    <t>EOMES_HUMAN.H11MO.0.D</t>
  </si>
  <si>
    <t>Q04743</t>
  </si>
  <si>
    <t>EMX2_HUMAN</t>
  </si>
  <si>
    <t>EMX{3.1.2.6}</t>
  </si>
  <si>
    <t>TAATTARbdhhh</t>
  </si>
  <si>
    <t>EMX2</t>
  </si>
  <si>
    <t>EMX2_HUMAN.H11MO.0.D</t>
  </si>
  <si>
    <t>Q04741</t>
  </si>
  <si>
    <t>EMX1_HUMAN</t>
  </si>
  <si>
    <t>TAATTARbbhWh</t>
  </si>
  <si>
    <t>EMX1</t>
  </si>
  <si>
    <t>EMX1_HUMAN.H11MO.0.D</t>
  </si>
  <si>
    <t>P28324</t>
  </si>
  <si>
    <t>ELK4_HUMAN</t>
  </si>
  <si>
    <t>vvCCGGAARYRv</t>
  </si>
  <si>
    <t>ELK4</t>
  </si>
  <si>
    <t>ELK4_HUMAN.H11MO.0.A</t>
  </si>
  <si>
    <t>P41970</t>
  </si>
  <si>
    <t>ELK3_HUMAN</t>
  </si>
  <si>
    <t>vnCMGGAWGTGC</t>
  </si>
  <si>
    <t>ELK3</t>
  </si>
  <si>
    <t>ELK3_HUMAN.H11MO.0.D</t>
  </si>
  <si>
    <t>P19419</t>
  </si>
  <si>
    <t>ELK1_HUMAN</t>
  </si>
  <si>
    <t>vCCGGAAGTKv</t>
  </si>
  <si>
    <t>ELK1</t>
  </si>
  <si>
    <t>ELK1_HUMAN.H11MO.0.B</t>
  </si>
  <si>
    <t>Q9UKW6</t>
  </si>
  <si>
    <t>ELF5_HUMAN</t>
  </si>
  <si>
    <t>EHF-like factors{3.5.2.4}</t>
  </si>
  <si>
    <t>vvvAbSMGGAAGhdv</t>
  </si>
  <si>
    <t>ELF5</t>
  </si>
  <si>
    <t>ELF5_HUMAN.H11MO.0.A</t>
  </si>
  <si>
    <t>P78545</t>
  </si>
  <si>
    <t>ELF3_HUMAN</t>
  </si>
  <si>
    <t>vdAbSAGGAARYdv</t>
  </si>
  <si>
    <t>ELF3</t>
  </si>
  <si>
    <t>ELF3_HUMAN.H11MO.0.A</t>
  </si>
  <si>
    <t>Q15723</t>
  </si>
  <si>
    <t>ELF2_HUMAN</t>
  </si>
  <si>
    <t>Elf-1-like factors{3.5.2.3}</t>
  </si>
  <si>
    <t>vdvSCGGAAGhvv</t>
  </si>
  <si>
    <t>ELF2</t>
  </si>
  <si>
    <t>ELF2_HUMAN.H11MO.0.C</t>
  </si>
  <si>
    <t>P32519</t>
  </si>
  <si>
    <t>ELF1_HUMAN</t>
  </si>
  <si>
    <t>vvdvSMGGAAGYvv</t>
  </si>
  <si>
    <t>ELF1</t>
  </si>
  <si>
    <t>ELF1_HUMAN.H11MO.0.A</t>
  </si>
  <si>
    <t>Q9NZC4</t>
  </si>
  <si>
    <t>EHF_HUMAN</t>
  </si>
  <si>
    <t>ndAbSAGGAAGYdvv</t>
  </si>
  <si>
    <t>EHF</t>
  </si>
  <si>
    <t>EHF_HUMAN.H11MO.0.B</t>
  </si>
  <si>
    <t>Q05215</t>
  </si>
  <si>
    <t>EGR4_HUMAN</t>
  </si>
  <si>
    <t>EGR factors{2.3.1.3}</t>
  </si>
  <si>
    <t>GGSGGYAGGGM</t>
  </si>
  <si>
    <t>EGR4</t>
  </si>
  <si>
    <t>EGR4_HUMAN.H11MO.0.D</t>
  </si>
  <si>
    <t>Q06889</t>
  </si>
  <si>
    <t>EGR3_HUMAN</t>
  </si>
  <si>
    <t>WRMGTGGGTGb</t>
  </si>
  <si>
    <t>EGR3</t>
  </si>
  <si>
    <t>EGR3_HUMAN.H11MO.0.D</t>
  </si>
  <si>
    <t>P11161</t>
  </si>
  <si>
    <t>EGR2_HUMAN</t>
  </si>
  <si>
    <t>dvdGhGKGGGhGKddv</t>
  </si>
  <si>
    <t>EGR2</t>
  </si>
  <si>
    <t>EGR2_HUMAN.H11MO.1.A</t>
  </si>
  <si>
    <t>RdRdvdShGKGGGhGKdR</t>
  </si>
  <si>
    <t>EGR2_HUMAN.H11MO.0.A</t>
  </si>
  <si>
    <t>P18146</t>
  </si>
  <si>
    <t>EGR1_HUMAN</t>
  </si>
  <si>
    <t>vnvdGhGKGGGYGKndv</t>
  </si>
  <si>
    <t>EGR1</t>
  </si>
  <si>
    <t>EGR1_HUMAN.H11MO.0.A</t>
  </si>
  <si>
    <t>Q66K89</t>
  </si>
  <si>
    <t>E4F1_HUMAN</t>
  </si>
  <si>
    <t>nGTGACGTM</t>
  </si>
  <si>
    <t>E4F1_HUMAN.H11MO.0.D</t>
  </si>
  <si>
    <t>A0AVK6</t>
  </si>
  <si>
    <t>E2F8_HUMAN</t>
  </si>
  <si>
    <t>E2F{3.3.2.1}</t>
  </si>
  <si>
    <t>dnKRKMGGGWWd</t>
  </si>
  <si>
    <t>E2F8</t>
  </si>
  <si>
    <t>E2F8_HUMAN.H11MO.0.D</t>
  </si>
  <si>
    <t>Q96AV8</t>
  </si>
  <si>
    <t>E2F7_HUMAN</t>
  </si>
  <si>
    <t>vdRGCGGGARvdv</t>
  </si>
  <si>
    <t>E2F7</t>
  </si>
  <si>
    <t>E2F7_HUMAN.H11MO.0.B</t>
  </si>
  <si>
    <t>O75461</t>
  </si>
  <si>
    <t>E2F6_HUMAN</t>
  </si>
  <si>
    <t>dRRGMGGGARvvv</t>
  </si>
  <si>
    <t>E2F6</t>
  </si>
  <si>
    <t>E2F6_HUMAN.H11MO.0.A</t>
  </si>
  <si>
    <t>Q15329</t>
  </si>
  <si>
    <t>E2F5_HUMAN</t>
  </si>
  <si>
    <t>nGCGCCAAAh</t>
  </si>
  <si>
    <t>E2F5</t>
  </si>
  <si>
    <t>E2F5_HUMAN.H11MO.0.B</t>
  </si>
  <si>
    <t>Q16254</t>
  </si>
  <si>
    <t>E2F4_HUMAN</t>
  </si>
  <si>
    <t>SGCGGGRRddbbnd</t>
  </si>
  <si>
    <t>E2F4</t>
  </si>
  <si>
    <t>E2F4_HUMAN.H11MO.1.A</t>
  </si>
  <si>
    <t>vddSGCGGGRvvd</t>
  </si>
  <si>
    <t>E2F4_HUMAN.H11MO.0.A</t>
  </si>
  <si>
    <t>O00716</t>
  </si>
  <si>
    <t>E2F3_HUMAN</t>
  </si>
  <si>
    <t>ddRGMKGGARv</t>
  </si>
  <si>
    <t>E2F3_HUMAN.H11MO.0.A</t>
  </si>
  <si>
    <t>Q14209</t>
  </si>
  <si>
    <t>E2F2_HUMAN</t>
  </si>
  <si>
    <t>RGCGCGMAWC</t>
  </si>
  <si>
    <t>E2F2</t>
  </si>
  <si>
    <t>E2F2_HUMAN.H11MO.0.B</t>
  </si>
  <si>
    <t>Q01094</t>
  </si>
  <si>
    <t>E2F1_HUMAN</t>
  </si>
  <si>
    <t>vvndSGCGGGARvd</t>
  </si>
  <si>
    <t>E2F1</t>
  </si>
  <si>
    <t>E2F1_HUMAN.H11MO.0.A</t>
  </si>
  <si>
    <t>A6NLW8</t>
  </si>
  <si>
    <t>DUXA_HUMAN</t>
  </si>
  <si>
    <t>DUX{3.1.3.7}</t>
  </si>
  <si>
    <t>TGATTARvTYR</t>
  </si>
  <si>
    <t>DUXA</t>
  </si>
  <si>
    <t>DUXA_HUMAN.H11MO.0.D</t>
  </si>
  <si>
    <t>Q9UBX2</t>
  </si>
  <si>
    <t>DUX4_HUMAN</t>
  </si>
  <si>
    <t>TGATTRRRTTA</t>
  </si>
  <si>
    <t>DUX4</t>
  </si>
  <si>
    <t>DUX4_HUMAN.H11MO.0.A</t>
  </si>
  <si>
    <t>A6NNA5</t>
  </si>
  <si>
    <t>DRGX_HUMAN</t>
  </si>
  <si>
    <t>DRGX{3.1.3.6}</t>
  </si>
  <si>
    <t>DRGX</t>
  </si>
  <si>
    <t>DRGX_HUMAN.H11MO.0.D</t>
  </si>
  <si>
    <t>A6NFQ7</t>
  </si>
  <si>
    <t>DPRX_HUMAN</t>
  </si>
  <si>
    <t>DPRX{3.1.3.5}</t>
  </si>
  <si>
    <t>nvGGATTAdSn</t>
  </si>
  <si>
    <t>DPRX</t>
  </si>
  <si>
    <t>DPRX_HUMAN.H11MO.0.D</t>
  </si>
  <si>
    <t>Q9Y5R6</t>
  </si>
  <si>
    <t>DMRT1_HUMAN</t>
  </si>
  <si>
    <t>DMRT1{2.5.1.0.1}</t>
  </si>
  <si>
    <t>DMRT{2.5.1}</t>
  </si>
  <si>
    <t>hdGhhACAAWGTWdChv</t>
  </si>
  <si>
    <t>DMRT1</t>
  </si>
  <si>
    <t>DMRT1_HUMAN.H11MO.0.D</t>
  </si>
  <si>
    <t>Q8NFW5</t>
  </si>
  <si>
    <t>DMBX1_HUMAN</t>
  </si>
  <si>
    <t>DMBX{3.1.3.4}</t>
  </si>
  <si>
    <t>hhvhWWWWWbYYRATTAvnn</t>
  </si>
  <si>
    <t>DMBX1</t>
  </si>
  <si>
    <t>DMBX1_HUMAN.H11MO.0.D</t>
  </si>
  <si>
    <t>P56179</t>
  </si>
  <si>
    <t>DLX6_HUMAN</t>
  </si>
  <si>
    <t>DLX{3.1.2.5}</t>
  </si>
  <si>
    <t>hWddddnnnTAATTR</t>
  </si>
  <si>
    <t>DLX6</t>
  </si>
  <si>
    <t>DLX6_HUMAN.H11MO.0.D</t>
  </si>
  <si>
    <t>P56178</t>
  </si>
  <si>
    <t>DLX5_HUMAN</t>
  </si>
  <si>
    <t>WRATTRYWKbb</t>
  </si>
  <si>
    <t>DLX5</t>
  </si>
  <si>
    <t>DLX5_HUMAN.H11MO.0.D</t>
  </si>
  <si>
    <t>Q92988</t>
  </si>
  <si>
    <t>DLX4_HUMAN</t>
  </si>
  <si>
    <t>YAATTAbnnhhWWWWd</t>
  </si>
  <si>
    <t>DLX4</t>
  </si>
  <si>
    <t>DLX4_HUMAN.H11MO.0.D</t>
  </si>
  <si>
    <t>O60479</t>
  </si>
  <si>
    <t>DLX3_HUMAN</t>
  </si>
  <si>
    <t>RMTAATTRvh</t>
  </si>
  <si>
    <t>DLX3</t>
  </si>
  <si>
    <t>DLX3_HUMAN.H11MO.0.C</t>
  </si>
  <si>
    <t>Q07687</t>
  </si>
  <si>
    <t>DLX2_HUMAN</t>
  </si>
  <si>
    <t>ATAATTAn</t>
  </si>
  <si>
    <t>DLX2</t>
  </si>
  <si>
    <t>DLX2_HUMAN.H11MO.0.D</t>
  </si>
  <si>
    <t>P56177</t>
  </si>
  <si>
    <t>DLX1_HUMAN</t>
  </si>
  <si>
    <t>dhWWWWddbbWAATTd</t>
  </si>
  <si>
    <t>DLX1</t>
  </si>
  <si>
    <t>DLX1_HUMAN.H11MO.0.D</t>
  </si>
  <si>
    <t>P35638</t>
  </si>
  <si>
    <t>DDIT3_HUMAN</t>
  </si>
  <si>
    <t>C/EBP{1.1.8.1}</t>
  </si>
  <si>
    <t>MTGATGMAAb</t>
  </si>
  <si>
    <t>DDIT3_HUMAN.H11MO.0.D</t>
  </si>
  <si>
    <t>Q10586</t>
  </si>
  <si>
    <t>DBP_HUMAN</t>
  </si>
  <si>
    <t>vTKRYGTAAbv</t>
  </si>
  <si>
    <t>DBP</t>
  </si>
  <si>
    <t>DBP_HUMAN.H11MO.0.B</t>
  </si>
  <si>
    <t>Q9P0U4</t>
  </si>
  <si>
    <t>CXXC1_HUMAN</t>
  </si>
  <si>
    <t>CpG-binding protein (CXXC1, CFP1, CGBP, PCCX1, PHF18){2.6.1.0.1}</t>
  </si>
  <si>
    <t>CpG-binding proteins{2.6.1}</t>
  </si>
  <si>
    <t>YGKTKKY</t>
  </si>
  <si>
    <t>CXXC1</t>
  </si>
  <si>
    <t>CXXC1_HUMAN.H11MO.0.D</t>
  </si>
  <si>
    <t>O14529</t>
  </si>
  <si>
    <t>CUX2_HUMAN</t>
  </si>
  <si>
    <t>CUX{3.1.9.2}</t>
  </si>
  <si>
    <t>hRRTCAATvvv</t>
  </si>
  <si>
    <t>CUX2</t>
  </si>
  <si>
    <t>CUX2_HUMAN.H11MO.0.D</t>
  </si>
  <si>
    <t>P39880</t>
  </si>
  <si>
    <t>CUX1_HUMAN</t>
  </si>
  <si>
    <t>vbRvndATYRRTbb</t>
  </si>
  <si>
    <t>CUX1</t>
  </si>
  <si>
    <t>CUX1_HUMAN.H11MO.0.C</t>
  </si>
  <si>
    <t>P49711</t>
  </si>
  <si>
    <t>CTCF_HUMAN</t>
  </si>
  <si>
    <t>CTCF-like factors{2.3.3.50}</t>
  </si>
  <si>
    <t>bbdCCRSYAGGKGGCRSbv</t>
  </si>
  <si>
    <t>CTCF_HUMAN.H11MO.0.A</t>
  </si>
  <si>
    <t>Q8NI51</t>
  </si>
  <si>
    <t>CTCFL_HUMAN</t>
  </si>
  <si>
    <t>bCCdShAGGKGGCGShv</t>
  </si>
  <si>
    <t>CTCFL</t>
  </si>
  <si>
    <t>CTCFL_HUMAN.H11MO.0.A</t>
  </si>
  <si>
    <t>O43186</t>
  </si>
  <si>
    <t>CRX_HUMAN</t>
  </si>
  <si>
    <t>hvRdvGGATTAdv</t>
  </si>
  <si>
    <t>CRX</t>
  </si>
  <si>
    <t>CRX_HUMAN.H11MO.0.B</t>
  </si>
  <si>
    <t>Q03060</t>
  </si>
  <si>
    <t>CREM_HUMAN</t>
  </si>
  <si>
    <t>CREB-like factors{1.1.7.1}</t>
  </si>
  <si>
    <t>CREB-related factors{1.1.7}</t>
  </si>
  <si>
    <t>SRvTGACGTSA</t>
  </si>
  <si>
    <t>CREM</t>
  </si>
  <si>
    <t>CREM_HUMAN.H11MO.0.C</t>
  </si>
  <si>
    <t>Q02930</t>
  </si>
  <si>
    <t>CREB5_HUMAN</t>
  </si>
  <si>
    <t>ATF-2-like factors{1.1.1.3}</t>
  </si>
  <si>
    <t>dRTGACGTCAT</t>
  </si>
  <si>
    <t>CREB5</t>
  </si>
  <si>
    <t>CREB5_HUMAN.H11MO.0.D</t>
  </si>
  <si>
    <t>O43889</t>
  </si>
  <si>
    <t>CREB3_HUMAN</t>
  </si>
  <si>
    <t>CREB-3-like factors{1.1.7.2}</t>
  </si>
  <si>
    <t>bnRTGACGTGKMd</t>
  </si>
  <si>
    <t>CREB3</t>
  </si>
  <si>
    <t>CREB3_HUMAN.H11MO.0.D</t>
  </si>
  <si>
    <t>P16220</t>
  </si>
  <si>
    <t>CREB1_HUMAN</t>
  </si>
  <si>
    <t>ndRTGACGYhW</t>
  </si>
  <si>
    <t>CREB1</t>
  </si>
  <si>
    <t>CREB1_HUMAN.H11MO.0.A</t>
  </si>
  <si>
    <t>Q70SY1</t>
  </si>
  <si>
    <t>CR3L2_HUMAN</t>
  </si>
  <si>
    <t>YKvWSACGTGdnv</t>
  </si>
  <si>
    <t>CREB3L2</t>
  </si>
  <si>
    <t>CR3L2_HUMAN.H11MO.0.D</t>
  </si>
  <si>
    <t>Q96BA8</t>
  </si>
  <si>
    <t>CR3L1_HUMAN</t>
  </si>
  <si>
    <t>KMCACGTGGCA</t>
  </si>
  <si>
    <t>CREB3L1</t>
  </si>
  <si>
    <t>CR3L1_HUMAN.H11MO.0.D</t>
  </si>
  <si>
    <t>Q9BZB8</t>
  </si>
  <si>
    <t>CPEB1_HUMAN</t>
  </si>
  <si>
    <t>hTTTTATYhYYYYWWWh</t>
  </si>
  <si>
    <t>CPEB1</t>
  </si>
  <si>
    <t>CPEB1_HUMAN.H11MO.0.D</t>
  </si>
  <si>
    <t>P24468</t>
  </si>
  <si>
    <t>COT2_HUMAN</t>
  </si>
  <si>
    <t>dRdvbhWRAGGKCAvvv</t>
  </si>
  <si>
    <t>NR2F2</t>
  </si>
  <si>
    <t>COT2_HUMAN.H11MO.1.A</t>
  </si>
  <si>
    <t>vMRAGGTCAdvdd</t>
  </si>
  <si>
    <t>COT2_HUMAN.H11MO.0.A</t>
  </si>
  <si>
    <t>P10589</t>
  </si>
  <si>
    <t>COT1_HUMAN</t>
  </si>
  <si>
    <t>bvdRAGGKCAvvR</t>
  </si>
  <si>
    <t>NR2F1</t>
  </si>
  <si>
    <t>COT1_HUMAN.H11MO.1.C</t>
  </si>
  <si>
    <t>vRRRbvRRAGGKCAdvv</t>
  </si>
  <si>
    <t>COT1_HUMAN.H11MO.0.C</t>
  </si>
  <si>
    <t>Q9UH73</t>
  </si>
  <si>
    <t>COE1_HUMAN</t>
  </si>
  <si>
    <t>EBF1 (COE1){6.1.5.0.1}</t>
  </si>
  <si>
    <t>Early B-Cell Factor-related factors{6.1.5}</t>
  </si>
  <si>
    <t>vdbYCCCMWGGGRvh</t>
  </si>
  <si>
    <t>EBF1</t>
  </si>
  <si>
    <t>COE1_HUMAN.H11MO.0.A</t>
  </si>
  <si>
    <t>O15516</t>
  </si>
  <si>
    <t>CLOCK_HUMAN</t>
  </si>
  <si>
    <t>Arnt-like factors{1.2.5.2}</t>
  </si>
  <si>
    <t>SdvnCAMRYGvvvh</t>
  </si>
  <si>
    <t>CLOCK</t>
  </si>
  <si>
    <t>CLOCK_HUMAN.H11MO.0.C</t>
  </si>
  <si>
    <t>P07199</t>
  </si>
  <si>
    <t>CENPB_HUMAN</t>
  </si>
  <si>
    <t>TTCGYWvnAhRCGGRdh</t>
  </si>
  <si>
    <t>CENPB</t>
  </si>
  <si>
    <t>CENPB_HUMAN.H11MO.0.D</t>
  </si>
  <si>
    <t>Q03701</t>
  </si>
  <si>
    <t>CEBPZ_HUMAN</t>
  </si>
  <si>
    <t>dSTSATTGGCT</t>
  </si>
  <si>
    <t>CEBPZ</t>
  </si>
  <si>
    <t>CEBPZ_HUMAN.H11MO.0.D</t>
  </si>
  <si>
    <t>P53567</t>
  </si>
  <si>
    <t>CEBPG_HUMAN</t>
  </si>
  <si>
    <t>RTTRCATCAKhh</t>
  </si>
  <si>
    <t>CEBPG</t>
  </si>
  <si>
    <t>CEBPG_HUMAN.H11MO.0.B</t>
  </si>
  <si>
    <t>Q15744</t>
  </si>
  <si>
    <t>CEBPE_HUMAN</t>
  </si>
  <si>
    <t>dTKSGMAAThdb</t>
  </si>
  <si>
    <t>CEBPE</t>
  </si>
  <si>
    <t>CEBPE_HUMAN.H11MO.0.A</t>
  </si>
  <si>
    <t>P49716</t>
  </si>
  <si>
    <t>CEBPD_HUMAN</t>
  </si>
  <si>
    <t>vTTGCdYMAbh</t>
  </si>
  <si>
    <t>CEBPD</t>
  </si>
  <si>
    <t>CEBPD_HUMAN.H11MO.0.C</t>
  </si>
  <si>
    <t>P17676</t>
  </si>
  <si>
    <t>CEBPB_HUMAN</t>
  </si>
  <si>
    <t>dRTTRhGCAAYv</t>
  </si>
  <si>
    <t>CEBPB</t>
  </si>
  <si>
    <t>CEBPB_HUMAN.H11MO.0.A</t>
  </si>
  <si>
    <t>P49715</t>
  </si>
  <si>
    <t>CEBPA_HUMAN</t>
  </si>
  <si>
    <t>dRTTKhGCAAYv</t>
  </si>
  <si>
    <t>CEBPA</t>
  </si>
  <si>
    <t>CEBPA_HUMAN.H11MO.0.A</t>
  </si>
  <si>
    <t>Q99626</t>
  </si>
  <si>
    <t>CDX2_HUMAN</t>
  </si>
  <si>
    <t>CDX (Caudal type homeobox){3.1.1.9}</t>
  </si>
  <si>
    <t>dTTbATKGShbY</t>
  </si>
  <si>
    <t>CDX2</t>
  </si>
  <si>
    <t>CDX2_HUMAN.H11MO.0.A</t>
  </si>
  <si>
    <t>P47902</t>
  </si>
  <si>
    <t>CDX1_HUMAN</t>
  </si>
  <si>
    <t>hTTKAWGd</t>
  </si>
  <si>
    <t>CDX1</t>
  </si>
  <si>
    <t>CDX1_HUMAN.H11MO.0.C</t>
  </si>
  <si>
    <t>Q99459</t>
  </si>
  <si>
    <t>CDC5L_HUMAN</t>
  </si>
  <si>
    <t>vbGnKdTAAYRWAWb</t>
  </si>
  <si>
    <t>CDC5L</t>
  </si>
  <si>
    <t>CDC5L_HUMAN.H11MO.0.D</t>
  </si>
  <si>
    <t>Q3C1V8</t>
  </si>
  <si>
    <t>BSH_HUMAN</t>
  </si>
  <si>
    <t>BSX{3.1.2.3}</t>
  </si>
  <si>
    <t>WWWbbvbhTAAYbd</t>
  </si>
  <si>
    <t>BSX</t>
  </si>
  <si>
    <t>BSH_HUMAN.H11MO.0.D</t>
  </si>
  <si>
    <t>P38398</t>
  </si>
  <si>
    <t>BRCA1_HUMAN</t>
  </si>
  <si>
    <t>bKKbKGTTG</t>
  </si>
  <si>
    <t>BRCA1</t>
  </si>
  <si>
    <t>BRCA1_HUMAN.H11MO.0.D</t>
  </si>
  <si>
    <t>O15178</t>
  </si>
  <si>
    <t>BRAC_HUMAN</t>
  </si>
  <si>
    <t>T (Brachyury){6.5.1.0.1}</t>
  </si>
  <si>
    <t>dRSTGWSARdd</t>
  </si>
  <si>
    <t>T</t>
  </si>
  <si>
    <t>BRAC_HUMAN.H11MO.1.B</t>
  </si>
  <si>
    <t>bYvvMRdvnvdSTGWKARdd</t>
  </si>
  <si>
    <t>BRAC_HUMAN.H11MO.0.A</t>
  </si>
  <si>
    <t>Q12830</t>
  </si>
  <si>
    <t>BPTF_HUMAN</t>
  </si>
  <si>
    <t>nKKnTTGTdKnv</t>
  </si>
  <si>
    <t>BPTF</t>
  </si>
  <si>
    <t>BPTF_HUMAN.H11MO.0.D</t>
  </si>
  <si>
    <t>O00327</t>
  </si>
  <si>
    <t>BMAL1_HUMAN</t>
  </si>
  <si>
    <t>nSCAYGTGhbb</t>
  </si>
  <si>
    <t>ARNTL</t>
  </si>
  <si>
    <t>BMAL1_HUMAN.H11MO.0.A</t>
  </si>
  <si>
    <t>Q9C0J9</t>
  </si>
  <si>
    <t>BHE41_HUMAN</t>
  </si>
  <si>
    <t>dCnRnSTCRMGTGMhKRnRn</t>
  </si>
  <si>
    <t>BHLHE41</t>
  </si>
  <si>
    <t>BHE41_HUMAN.H11MO.0.D</t>
  </si>
  <si>
    <t>O14503</t>
  </si>
  <si>
    <t>BHE40_HUMAN</t>
  </si>
  <si>
    <t>dKCACGTGMv</t>
  </si>
  <si>
    <t>BHLHE40</t>
  </si>
  <si>
    <t>BHE40_HUMAN.H11MO.0.A</t>
  </si>
  <si>
    <t>Q8NDY6</t>
  </si>
  <si>
    <t>BHE23_HUMAN</t>
  </si>
  <si>
    <t>dvnRKRTGKKdb</t>
  </si>
  <si>
    <t>BHLHE23</t>
  </si>
  <si>
    <t>BHE23_HUMAN.H11MO.0.D</t>
  </si>
  <si>
    <t>Q8NFJ8</t>
  </si>
  <si>
    <t>BHE22_HUMAN</t>
  </si>
  <si>
    <t>dvCATATGTTYhh</t>
  </si>
  <si>
    <t>BHLHE22</t>
  </si>
  <si>
    <t>BHE22_HUMAN.H11MO.0.D</t>
  </si>
  <si>
    <t>Q7RTS1</t>
  </si>
  <si>
    <t>BHA15_HUMAN</t>
  </si>
  <si>
    <t>vvRRCAGCTGK</t>
  </si>
  <si>
    <t>BHLHA15</t>
  </si>
  <si>
    <t>BHA15_HUMAN.H11MO.0.B</t>
  </si>
  <si>
    <t>P41182</t>
  </si>
  <si>
    <t>BCL6_HUMAN</t>
  </si>
  <si>
    <t>BCL6 factors{2.3.3.22}</t>
  </si>
  <si>
    <t>bdMYYTCYAGGAA</t>
  </si>
  <si>
    <t>BCL6</t>
  </si>
  <si>
    <t>BCL6_HUMAN.H11MO.0.A</t>
  </si>
  <si>
    <t>Q8N143</t>
  </si>
  <si>
    <t>BCL6B_HUMAN</t>
  </si>
  <si>
    <t>nYGCTTTCTAG</t>
  </si>
  <si>
    <t>BCL6B</t>
  </si>
  <si>
    <t>BCL6B_HUMAN.H11MO.0.D</t>
  </si>
  <si>
    <t>Q9H165</t>
  </si>
  <si>
    <t>BC11A_HUMAN</t>
  </si>
  <si>
    <t>BCL11{2.3.4.15}</t>
  </si>
  <si>
    <t>vdvRvRGGAAvYRRvRv</t>
  </si>
  <si>
    <t>BCL11A</t>
  </si>
  <si>
    <t>BC11A_HUMAN.H11MO.0.A</t>
  </si>
  <si>
    <t>Q16520</t>
  </si>
  <si>
    <t>BATF_HUMAN</t>
  </si>
  <si>
    <t>B-ATF{1.1.4.0.1}</t>
  </si>
  <si>
    <t>B-ATF-related factors{1.1.4}</t>
  </si>
  <si>
    <t>dMTGAYKCAWh</t>
  </si>
  <si>
    <t>BATF</t>
  </si>
  <si>
    <t>BATF_HUMAN.H11MO.1.A</t>
  </si>
  <si>
    <t>dbTYYYddWWTGASTnWb</t>
  </si>
  <si>
    <t>BATF_HUMAN.H11MO.0.A</t>
  </si>
  <si>
    <t>Q9NR55</t>
  </si>
  <si>
    <t>BATF3_HUMAN</t>
  </si>
  <si>
    <t>B-ATF-3{1.1.4.0.3}</t>
  </si>
  <si>
    <t>ndSTTYChnWhTGAbdn</t>
  </si>
  <si>
    <t>BATF3</t>
  </si>
  <si>
    <t>BATF3_HUMAN.H11MO.0.B</t>
  </si>
  <si>
    <t>Q9UMQ3</t>
  </si>
  <si>
    <t>BARX2_HUMAN</t>
  </si>
  <si>
    <t>BARX{3.1.2.2}</t>
  </si>
  <si>
    <t>hYnWTAATKR</t>
  </si>
  <si>
    <t>BARX2</t>
  </si>
  <si>
    <t>BARX2_HUMAN.H11MO.0.D</t>
  </si>
  <si>
    <t>Q9HBU1</t>
  </si>
  <si>
    <t>BARX1_HUMAN</t>
  </si>
  <si>
    <t>nWMAKKSYTThh</t>
  </si>
  <si>
    <t>BARX1</t>
  </si>
  <si>
    <t>BARX1_HUMAN.H11MO.0.D</t>
  </si>
  <si>
    <t>Q9NY43</t>
  </si>
  <si>
    <t>BARH2_HUMAN</t>
  </si>
  <si>
    <t>BARHL{3.1.2.1}</t>
  </si>
  <si>
    <t>vhTAAWYGnYbhhWWWhd</t>
  </si>
  <si>
    <t>BARHL2</t>
  </si>
  <si>
    <t>BARH2_HUMAN.H11MO.0.D</t>
  </si>
  <si>
    <t>Q9BZE3</t>
  </si>
  <si>
    <t>BARH1_HUMAN</t>
  </si>
  <si>
    <t>TAAWYGbYnhTWA</t>
  </si>
  <si>
    <t>BARHL1</t>
  </si>
  <si>
    <t>BARH1_HUMAN.H11MO.0.D</t>
  </si>
  <si>
    <t>Q9BYV9</t>
  </si>
  <si>
    <t>BACH2_HUMAN</t>
  </si>
  <si>
    <t>WGCTKWSTCAb</t>
  </si>
  <si>
    <t>BACH2</t>
  </si>
  <si>
    <t>BACH2_HUMAN.H11MO.0.A</t>
  </si>
  <si>
    <t>O14867</t>
  </si>
  <si>
    <t>BACH1_HUMAN</t>
  </si>
  <si>
    <t>YGCTGAGTCMbbb</t>
  </si>
  <si>
    <t>BACH1</t>
  </si>
  <si>
    <t>BACH1_HUMAN.H11MO.0.A</t>
  </si>
  <si>
    <t>Q92858</t>
  </si>
  <si>
    <t>ATOH1_HUMAN</t>
  </si>
  <si>
    <t>ATOH1</t>
  </si>
  <si>
    <t>ATOH1_HUMAN.H11MO.0.B</t>
  </si>
  <si>
    <t>P17544</t>
  </si>
  <si>
    <t>ATF7_HUMAN</t>
  </si>
  <si>
    <t>ATF7</t>
  </si>
  <si>
    <t>ATF7_HUMAN.H11MO.0.D</t>
  </si>
  <si>
    <t>P18850</t>
  </si>
  <si>
    <t>ATF6A_HUMAN</t>
  </si>
  <si>
    <t>ATF-6 factors{1.1.7.3}</t>
  </si>
  <si>
    <t>vKSSTGACGTGG</t>
  </si>
  <si>
    <t>ATF6</t>
  </si>
  <si>
    <t>ATF6A_HUMAN.H11MO.0.B</t>
  </si>
  <si>
    <t>P18848</t>
  </si>
  <si>
    <t>ATF4_HUMAN</t>
  </si>
  <si>
    <t>ATF-4{1.1.6.0.1}</t>
  </si>
  <si>
    <t>ATF-4-related factors{1.1.6}</t>
  </si>
  <si>
    <t>dnMTGATGCAAY</t>
  </si>
  <si>
    <t>ATF4</t>
  </si>
  <si>
    <t>ATF4_HUMAN.H11MO.0.A</t>
  </si>
  <si>
    <t>P18847</t>
  </si>
  <si>
    <t>ATF3_HUMAN</t>
  </si>
  <si>
    <t>dRTSACGTRRb</t>
  </si>
  <si>
    <t>ATF3</t>
  </si>
  <si>
    <t>ATF3_HUMAN.H11MO.0.A</t>
  </si>
  <si>
    <t>P15336</t>
  </si>
  <si>
    <t>ATF2_HUMAN</t>
  </si>
  <si>
    <t>RRTGACGTCAb</t>
  </si>
  <si>
    <t>ATF2</t>
  </si>
  <si>
    <t>ATF2_HUMAN.H11MO.2.C</t>
  </si>
  <si>
    <t>ddddRATGATGTCAThdhdd</t>
  </si>
  <si>
    <t>ATF2_HUMAN.H11MO.1.B</t>
  </si>
  <si>
    <t>dvTGAbGWMAb</t>
  </si>
  <si>
    <t>ATF2_HUMAN.H11MO.0.B</t>
  </si>
  <si>
    <t>P18846</t>
  </si>
  <si>
    <t>ATF1_HUMAN</t>
  </si>
  <si>
    <t>ndRTGACGYvd</t>
  </si>
  <si>
    <t>ATF1</t>
  </si>
  <si>
    <t>ATF1_HUMAN.H11MO.0.B</t>
  </si>
  <si>
    <t>Q99929</t>
  </si>
  <si>
    <t>ASCL2_HUMAN</t>
  </si>
  <si>
    <t>Achaete-Scute-like factors{1.2.2.2}</t>
  </si>
  <si>
    <t>vCASCTGCY</t>
  </si>
  <si>
    <t>ASCL2</t>
  </si>
  <si>
    <t>ASCL2_HUMAN.H11MO.0.D</t>
  </si>
  <si>
    <t>P50553</t>
  </si>
  <si>
    <t>ASCL1_HUMAN</t>
  </si>
  <si>
    <t>hnvCASCTGYYbhh</t>
  </si>
  <si>
    <t>ASCL1</t>
  </si>
  <si>
    <t>ASCL1_HUMAN.H11MO.0.A</t>
  </si>
  <si>
    <t>Q96QS3</t>
  </si>
  <si>
    <t>ARX_HUMAN</t>
  </si>
  <si>
    <t>ARX{3.1.3.3}</t>
  </si>
  <si>
    <t>hTAATYTAATTWv</t>
  </si>
  <si>
    <t>ARX</t>
  </si>
  <si>
    <t>ARX_HUMAN.H11MO.0.D</t>
  </si>
  <si>
    <t>P27540</t>
  </si>
  <si>
    <t>ARNT_HUMAN</t>
  </si>
  <si>
    <t>vdRCGTGMh</t>
  </si>
  <si>
    <t>ARNT</t>
  </si>
  <si>
    <t>ARNT_HUMAN.H11MO.0.B</t>
  </si>
  <si>
    <t>Q9HBZ2</t>
  </si>
  <si>
    <t>ARNT2_HUMAN</t>
  </si>
  <si>
    <t>RnSGTGGvRSRS</t>
  </si>
  <si>
    <t>ARNT2</t>
  </si>
  <si>
    <t>ARNT2_HUMAN.H11MO.0.D</t>
  </si>
  <si>
    <t>Q14865</t>
  </si>
  <si>
    <t>ARI5B_HUMAN</t>
  </si>
  <si>
    <t>ARID5{3.7.1.5}</t>
  </si>
  <si>
    <t>ARID-related factors{3.7.1}</t>
  </si>
  <si>
    <t>nbYKnRTATTSKd</t>
  </si>
  <si>
    <t>ARID5B</t>
  </si>
  <si>
    <t>ARI5B_HUMAN.H11MO.0.C</t>
  </si>
  <si>
    <t>Q99856</t>
  </si>
  <si>
    <t>ARI3A_HUMAN</t>
  </si>
  <si>
    <t>ARID3{3.7.1.3}</t>
  </si>
  <si>
    <t>dWTTAAWYvRdWWYAAAWYWWW</t>
  </si>
  <si>
    <t>ARID3A</t>
  </si>
  <si>
    <t>ARI3A_HUMAN.H11MO.0.D</t>
  </si>
  <si>
    <t>Q7Z6R9</t>
  </si>
  <si>
    <t>AP2D_HUMAN</t>
  </si>
  <si>
    <t>AP-2delta{1.3.1.0.4}</t>
  </si>
  <si>
    <t>AP-2{1.3.1}</t>
  </si>
  <si>
    <t>nGbCCGRGGCnCGY</t>
  </si>
  <si>
    <t>TFAP2D</t>
  </si>
  <si>
    <t>AP2D_HUMAN.H11MO.0.D</t>
  </si>
  <si>
    <t>Q92754</t>
  </si>
  <si>
    <t>AP2C_HUMAN</t>
  </si>
  <si>
    <t>AP-2gamma{1.3.1.0.3}</t>
  </si>
  <si>
    <t>vddSCCTGRGGShv</t>
  </si>
  <si>
    <t>TFAP2C</t>
  </si>
  <si>
    <t>AP2C_HUMAN.H11MO.0.A</t>
  </si>
  <si>
    <t>Q92481</t>
  </si>
  <si>
    <t>AP2B_HUMAN</t>
  </si>
  <si>
    <t>AP-2beta{1.3.1.0.2}</t>
  </si>
  <si>
    <t>GSCYGRGGRv</t>
  </si>
  <si>
    <t>TFAP2B</t>
  </si>
  <si>
    <t>AP2B_HUMAN.H11MO.0.B</t>
  </si>
  <si>
    <t>P05549</t>
  </si>
  <si>
    <t>AP2A_HUMAN</t>
  </si>
  <si>
    <t>AP-2alpha{1.3.1.0.1}</t>
  </si>
  <si>
    <t>dddSCCTGRGGShdd</t>
  </si>
  <si>
    <t>TFAP2A</t>
  </si>
  <si>
    <t>AP2A_HUMAN.H11MO.0.A</t>
  </si>
  <si>
    <t>P10275</t>
  </si>
  <si>
    <t>ANDR_HUMAN</t>
  </si>
  <si>
    <t>nhbTGTKCYhdb</t>
  </si>
  <si>
    <t>AR</t>
  </si>
  <si>
    <t>ANDR_HUMAN.H11MO.2.A</t>
  </si>
  <si>
    <t>dGnACWbTbWGTdCYb</t>
  </si>
  <si>
    <t>ANDR_HUMAN.H11MO.1.A</t>
  </si>
  <si>
    <t>WKThYYddbhTRTTTRYh</t>
  </si>
  <si>
    <t>ANDR_HUMAN.H11MO.0.A</t>
  </si>
  <si>
    <t>Q9H161</t>
  </si>
  <si>
    <t>ALX4_HUMAN</t>
  </si>
  <si>
    <t>ALX{3.1.3.1}</t>
  </si>
  <si>
    <t>hTAATTARATTA</t>
  </si>
  <si>
    <t>ALX4</t>
  </si>
  <si>
    <t>ALX4_HUMAN.H11MO.0.D</t>
  </si>
  <si>
    <t>O95076</t>
  </si>
  <si>
    <t>ALX3_HUMAN</t>
  </si>
  <si>
    <t>TAATTARMTWW</t>
  </si>
  <si>
    <t>ALX3</t>
  </si>
  <si>
    <t>ALX3_HUMAN.H11MO.0.D</t>
  </si>
  <si>
    <t>Q15699</t>
  </si>
  <si>
    <t>ALX1_HUMAN</t>
  </si>
  <si>
    <t>vTRATYGnATTA</t>
  </si>
  <si>
    <t>ALX1</t>
  </si>
  <si>
    <t>ALX1_HUMAN.H11MO.0.B</t>
  </si>
  <si>
    <t>O43918</t>
  </si>
  <si>
    <t>AIRE_HUMAN</t>
  </si>
  <si>
    <t>AIRE{5.3.1.0.1}</t>
  </si>
  <si>
    <t>AIRE{5.3.1}</t>
  </si>
  <si>
    <t>hnnGGWWnddWWGGdbWh</t>
  </si>
  <si>
    <t>AIRE</t>
  </si>
  <si>
    <t>AIRE_HUMAN.H11MO.0.C</t>
  </si>
  <si>
    <t>P35869</t>
  </si>
  <si>
    <t>AHR_HUMAN</t>
  </si>
  <si>
    <t>dKhGCGTGh</t>
  </si>
  <si>
    <t>AHR</t>
  </si>
  <si>
    <t>AHR_HUMAN.H11MO.0.B</t>
  </si>
  <si>
    <t>UniProt AC</t>
  </si>
  <si>
    <t>UniProt ID</t>
  </si>
  <si>
    <t>EntrezGene</t>
  </si>
  <si>
    <t>HGNC</t>
  </si>
  <si>
    <t>TF subfamily</t>
  </si>
  <si>
    <t>TF family</t>
  </si>
  <si>
    <t>Aligned words</t>
  </si>
  <si>
    <t>Peak sets in benchmark (mouse)</t>
  </si>
  <si>
    <t>Peak sets in benchmark (human)</t>
  </si>
  <si>
    <t>Best auROC (mouse)</t>
  </si>
  <si>
    <t>Best auROC (human)</t>
  </si>
  <si>
    <t>Data source</t>
  </si>
  <si>
    <t>Model release</t>
  </si>
  <si>
    <t>Consensus</t>
  </si>
  <si>
    <t>Model rank</t>
  </si>
  <si>
    <t>Quality</t>
  </si>
  <si>
    <t>Model length</t>
  </si>
  <si>
    <t>Transcription factor</t>
  </si>
  <si>
    <t>Model</t>
  </si>
  <si>
    <t>Colored rows are using HOCOMOCO v11 Full dataset (with low quality D)</t>
  </si>
  <si>
    <t>F= Target motif not found in results; NA= TF not present in library</t>
  </si>
  <si>
    <t>1E-101 (#4)</t>
  </si>
  <si>
    <t>1.00E-394</t>
  </si>
  <si>
    <t>1.00E-330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</si>
</sst>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rgb="FF00B050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D7DB"/>
        <bgColor indexed="64"/>
      </patternFill>
    </fill>
  </fills>
  <borders count="2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2">
    <xf numFmtId="0" fontId="0" fillId="0" borderId="0" xfId="0"/>
    <xf numFmtId="11" fontId="0" fillId="0" borderId="0" xfId="0" applyNumberFormat="1"/>
    <xf numFmtId="0" fontId="0" fillId="0" borderId="0" xfId="0" applyAlignment="1">
      <alignment horizontal="center"/>
    </xf>
    <xf numFmtId="11" fontId="14" fillId="0" borderId="0" xfId="0" applyNumberFormat="1" applyFont="1"/>
    <xf numFmtId="0" fontId="0" fillId="0" borderId="14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11" fontId="0" fillId="0" borderId="13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11" fontId="0" fillId="0" borderId="0" xfId="0" applyNumberFormat="1" applyAlignment="1">
      <alignment horizontal="center"/>
    </xf>
    <xf numFmtId="11" fontId="0" fillId="0" borderId="14" xfId="0" applyNumberFormat="1" applyBorder="1" applyAlignment="1">
      <alignment horizontal="center"/>
    </xf>
    <xf numFmtId="11" fontId="14" fillId="0" borderId="0" xfId="0" applyNumberFormat="1" applyFont="1" applyAlignment="1">
      <alignment horizontal="center"/>
    </xf>
    <xf numFmtId="0" fontId="0" fillId="0" borderId="15" xfId="0" applyBorder="1" applyAlignment="1">
      <alignment horizontal="center"/>
    </xf>
    <xf numFmtId="11" fontId="0" fillId="0" borderId="16" xfId="0" applyNumberFormat="1" applyBorder="1" applyAlignment="1">
      <alignment horizontal="center"/>
    </xf>
    <xf numFmtId="11" fontId="0" fillId="0" borderId="17" xfId="0" applyNumberFormat="1" applyBorder="1" applyAlignment="1">
      <alignment horizontal="center"/>
    </xf>
    <xf numFmtId="0" fontId="0" fillId="0" borderId="18" xfId="0" applyBorder="1" applyAlignment="1">
      <alignment horizontal="center" wrapText="1"/>
    </xf>
    <xf numFmtId="0" fontId="0" fillId="0" borderId="19" xfId="0" applyBorder="1" applyAlignment="1">
      <alignment horizontal="center" wrapText="1"/>
    </xf>
    <xf numFmtId="0" fontId="0" fillId="0" borderId="20" xfId="0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0" fillId="36" borderId="0" xfId="0" applyFill="1"/>
    <xf numFmtId="0" fontId="0" fillId="36" borderId="13" xfId="0" applyFill="1" applyBorder="1" applyAlignment="1">
      <alignment horizontal="center"/>
    </xf>
    <xf numFmtId="0" fontId="0" fillId="36" borderId="0" xfId="0" applyFill="1" applyAlignment="1">
      <alignment horizontal="center"/>
    </xf>
    <xf numFmtId="0" fontId="0" fillId="36" borderId="14" xfId="0" applyFill="1" applyBorder="1" applyAlignment="1">
      <alignment horizontal="center"/>
    </xf>
    <xf numFmtId="11" fontId="0" fillId="36" borderId="0" xfId="0" applyNumberFormat="1" applyFill="1" applyAlignment="1">
      <alignment horizontal="center"/>
    </xf>
    <xf numFmtId="11" fontId="0" fillId="36" borderId="14" xfId="0" applyNumberFormat="1" applyFill="1" applyBorder="1" applyAlignment="1">
      <alignment horizontal="center"/>
    </xf>
    <xf numFmtId="11" fontId="14" fillId="0" borderId="14" xfId="0" applyNumberFormat="1" applyFont="1" applyBorder="1" applyAlignment="1">
      <alignment horizontal="center"/>
    </xf>
    <xf numFmtId="11" fontId="18" fillId="0" borderId="14" xfId="0" applyNumberFormat="1" applyFont="1" applyBorder="1" applyAlignment="1">
      <alignment horizontal="center"/>
    </xf>
    <xf numFmtId="11" fontId="18" fillId="0" borderId="0" xfId="0" applyNumberFormat="1" applyFont="1" applyAlignment="1">
      <alignment horizontal="center"/>
    </xf>
    <xf numFmtId="0" fontId="18" fillId="36" borderId="0" xfId="0" applyFont="1" applyFill="1" applyAlignment="1">
      <alignment horizontal="center"/>
    </xf>
    <xf numFmtId="0" fontId="18" fillId="0" borderId="0" xfId="0" applyFont="1" applyAlignment="1">
      <alignment horizontal="center"/>
    </xf>
    <xf numFmtId="11" fontId="14" fillId="0" borderId="13" xfId="0" applyNumberFormat="1" applyFont="1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11" fontId="0" fillId="0" borderId="10" xfId="0" applyNumberFormat="1" applyBorder="1" applyAlignment="1">
      <alignment horizontal="center"/>
    </xf>
    <xf numFmtId="11" fontId="0" fillId="0" borderId="11" xfId="0" applyNumberFormat="1" applyBorder="1" applyAlignment="1">
      <alignment horizontal="center"/>
    </xf>
    <xf numFmtId="11" fontId="0" fillId="0" borderId="15" xfId="0" applyNumberFormat="1" applyBorder="1" applyAlignment="1">
      <alignment horizontal="center"/>
    </xf>
    <xf numFmtId="0" fontId="0" fillId="36" borderId="22" xfId="0" applyFill="1" applyBorder="1" applyAlignment="1">
      <alignment horizontal="center"/>
    </xf>
    <xf numFmtId="0" fontId="19" fillId="0" borderId="0" xfId="0" applyFont="1"/>
    <xf numFmtId="0" fontId="19" fillId="0" borderId="0" xfId="0" applyFont="1" applyAlignment="1">
      <alignment horizontal="center"/>
    </xf>
    <xf numFmtId="0" fontId="0" fillId="0" borderId="21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0" xfId="0" applyAlignment="1">
      <alignment horizontal="left"/>
    </xf>
    <xf numFmtId="0" fontId="0" fillId="0" borderId="10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33" borderId="18" xfId="0" applyFill="1" applyBorder="1" applyAlignment="1">
      <alignment horizontal="center" vertical="center"/>
    </xf>
    <xf numFmtId="0" fontId="0" fillId="33" borderId="19" xfId="0" applyFill="1" applyBorder="1" applyAlignment="1">
      <alignment horizontal="center" vertical="center"/>
    </xf>
    <xf numFmtId="0" fontId="0" fillId="33" borderId="20" xfId="0" applyFill="1" applyBorder="1" applyAlignment="1">
      <alignment horizontal="center" vertical="center"/>
    </xf>
    <xf numFmtId="0" fontId="0" fillId="35" borderId="11" xfId="0" applyFill="1" applyBorder="1" applyAlignment="1">
      <alignment horizontal="center" vertical="center"/>
    </xf>
    <xf numFmtId="0" fontId="0" fillId="35" borderId="12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0" fontId="0" fillId="34" borderId="11" xfId="0" applyFill="1" applyBorder="1" applyAlignment="1">
      <alignment horizontal="center" vertical="center"/>
    </xf>
    <xf numFmtId="0" fontId="0" fillId="34" borderId="12" xfId="0" applyFill="1" applyBorder="1" applyAlignment="1">
      <alignment horizontal="center" vertical="center"/>
    </xf>
    <xf numFmtId="0" fontId="0" fillId="36" borderId="0" xfId="0" applyFill="1" applyAlignment="1">
      <alignment horizontal="left"/>
    </xf>
    <xf numFmtId="11" fontId="18" fillId="0" borderId="0" xfId="0" applyNumberFormat="1" applyFont="1" applyFill="1" applyAlignment="1">
      <alignment horizontal="center"/>
    </xf>
    <xf numFmtId="0" fontId="0" fillId="0" borderId="0" xfId="0" applyFill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colors>
    <mruColors>
      <color rgb="FFFFD7DB"/>
      <color rgb="FFFF2E3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E53D0-C42D-4F47-BE46-FCC2429A3B51}">
  <dimension ref="A1:J80"/>
  <sheetViews>
    <sheetView topLeftCell="A5" workbookViewId="0">
      <selection activeCell="I70" sqref="I70"/>
    </sheetView>
  </sheetViews>
  <sheetFormatPr baseColWidth="10" defaultRowHeight="16" x14ac:dyDescent="0.2"/>
  <cols>
    <col min="3" max="3" width="16.83203125" bestFit="1" customWidth="1"/>
    <col min="4" max="4" width="18.83203125" bestFit="1" customWidth="1"/>
    <col min="5" max="5" width="15.33203125" bestFit="1" customWidth="1"/>
    <col min="6" max="6" width="17.5" bestFit="1" customWidth="1"/>
    <col min="7" max="7" width="29" bestFit="1" customWidth="1"/>
    <col min="8" max="8" width="31" bestFit="1" customWidth="1"/>
    <col min="9" max="9" width="14.5" style="2" bestFit="1" customWidth="1"/>
    <col min="10" max="10" width="23" style="2" bestFit="1" customWidth="1"/>
  </cols>
  <sheetData>
    <row r="1" spans="1:10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93</v>
      </c>
      <c r="H1" t="s">
        <v>94</v>
      </c>
      <c r="I1" s="2" t="s">
        <v>6</v>
      </c>
      <c r="J1" s="2" t="s">
        <v>7</v>
      </c>
    </row>
    <row r="2" spans="1:10" x14ac:dyDescent="0.2">
      <c r="A2" t="s">
        <v>24</v>
      </c>
      <c r="B2">
        <v>10410</v>
      </c>
      <c r="C2" t="s">
        <v>9</v>
      </c>
      <c r="D2" s="3">
        <v>9.9999999999999993E-40</v>
      </c>
      <c r="E2" t="s">
        <v>9</v>
      </c>
      <c r="F2" s="1">
        <v>1.0000000000000001E-68</v>
      </c>
      <c r="H2" s="3">
        <v>1.0000000000000001E-101</v>
      </c>
      <c r="I2" s="2" t="s">
        <v>24</v>
      </c>
      <c r="J2" s="2" t="s">
        <v>24</v>
      </c>
    </row>
    <row r="3" spans="1:10" x14ac:dyDescent="0.2">
      <c r="A3" t="s">
        <v>16</v>
      </c>
      <c r="B3">
        <v>30622</v>
      </c>
      <c r="C3" s="1">
        <v>4.4400000000000002E-10</v>
      </c>
      <c r="D3" s="3">
        <v>9.9999999999999997E-65</v>
      </c>
      <c r="E3" t="s">
        <v>9</v>
      </c>
      <c r="F3" s="1">
        <v>9.9999999999999998E-86</v>
      </c>
      <c r="G3" s="1">
        <v>2.4700000000000001E-6</v>
      </c>
      <c r="H3" s="3">
        <v>1E-70</v>
      </c>
      <c r="I3" s="2" t="s">
        <v>16</v>
      </c>
      <c r="J3" s="2" t="s">
        <v>16</v>
      </c>
    </row>
    <row r="4" spans="1:10" x14ac:dyDescent="0.2">
      <c r="A4" t="s">
        <v>89</v>
      </c>
      <c r="B4">
        <v>1046</v>
      </c>
      <c r="C4" t="s">
        <v>9</v>
      </c>
      <c r="D4" t="s">
        <v>9</v>
      </c>
      <c r="E4" t="s">
        <v>9</v>
      </c>
      <c r="F4" t="s">
        <v>9</v>
      </c>
      <c r="I4" s="2" t="e">
        <v>#N/A</v>
      </c>
      <c r="J4" s="2" t="s">
        <v>89</v>
      </c>
    </row>
    <row r="5" spans="1:10" x14ac:dyDescent="0.2">
      <c r="A5" t="s">
        <v>71</v>
      </c>
      <c r="B5">
        <v>1637</v>
      </c>
      <c r="C5" t="s">
        <v>9</v>
      </c>
      <c r="D5" t="s">
        <v>9</v>
      </c>
      <c r="E5" t="s">
        <v>9</v>
      </c>
      <c r="F5" t="s">
        <v>9</v>
      </c>
      <c r="I5" s="2" t="e">
        <v>#N/A</v>
      </c>
      <c r="J5" s="2" t="s">
        <v>71</v>
      </c>
    </row>
    <row r="6" spans="1:10" x14ac:dyDescent="0.2">
      <c r="A6" t="s">
        <v>39</v>
      </c>
      <c r="B6">
        <v>4760</v>
      </c>
      <c r="C6" t="s">
        <v>9</v>
      </c>
      <c r="D6" t="s">
        <v>9</v>
      </c>
      <c r="E6" t="s">
        <v>9</v>
      </c>
      <c r="F6" t="s">
        <v>9</v>
      </c>
      <c r="I6" s="2" t="e">
        <v>#N/A</v>
      </c>
      <c r="J6" s="2" t="s">
        <v>39</v>
      </c>
    </row>
    <row r="7" spans="1:10" x14ac:dyDescent="0.2">
      <c r="A7" t="s">
        <v>61</v>
      </c>
      <c r="B7">
        <v>2303</v>
      </c>
      <c r="C7" t="s">
        <v>9</v>
      </c>
      <c r="D7" t="s">
        <v>9</v>
      </c>
      <c r="E7" t="s">
        <v>9</v>
      </c>
      <c r="F7" t="s">
        <v>9</v>
      </c>
      <c r="I7" s="2" t="e">
        <v>#N/A</v>
      </c>
      <c r="J7" s="2" t="s">
        <v>61</v>
      </c>
    </row>
    <row r="8" spans="1:10" x14ac:dyDescent="0.2">
      <c r="A8" t="s">
        <v>86</v>
      </c>
      <c r="B8">
        <v>1202</v>
      </c>
      <c r="C8" t="s">
        <v>9</v>
      </c>
      <c r="D8" s="1">
        <v>1</v>
      </c>
      <c r="E8" t="s">
        <v>9</v>
      </c>
      <c r="F8" s="1">
        <v>1</v>
      </c>
      <c r="I8" s="2" t="s">
        <v>86</v>
      </c>
      <c r="J8" s="2" t="s">
        <v>86</v>
      </c>
    </row>
    <row r="9" spans="1:10" x14ac:dyDescent="0.2">
      <c r="A9" t="s">
        <v>45</v>
      </c>
      <c r="B9">
        <v>3968</v>
      </c>
      <c r="C9" s="1">
        <v>1.9300000000000001E-12</v>
      </c>
      <c r="D9" s="1">
        <v>1E-3</v>
      </c>
      <c r="E9" t="s">
        <v>9</v>
      </c>
      <c r="F9" s="1">
        <v>1E-8</v>
      </c>
      <c r="I9" s="2" t="s">
        <v>46</v>
      </c>
      <c r="J9" s="2" t="s">
        <v>45</v>
      </c>
    </row>
    <row r="10" spans="1:10" x14ac:dyDescent="0.2">
      <c r="A10" t="s">
        <v>91</v>
      </c>
      <c r="B10">
        <v>1027</v>
      </c>
      <c r="C10" t="s">
        <v>9</v>
      </c>
      <c r="D10" s="1">
        <v>1</v>
      </c>
      <c r="E10" t="s">
        <v>9</v>
      </c>
      <c r="F10" s="1">
        <v>1</v>
      </c>
      <c r="I10" s="2" t="e">
        <v>#N/A</v>
      </c>
      <c r="J10" s="2" t="s">
        <v>91</v>
      </c>
    </row>
    <row r="11" spans="1:10" x14ac:dyDescent="0.2">
      <c r="A11" t="s">
        <v>67</v>
      </c>
      <c r="B11">
        <v>1764</v>
      </c>
      <c r="C11" t="s">
        <v>9</v>
      </c>
      <c r="D11" s="1">
        <v>1</v>
      </c>
      <c r="E11" t="s">
        <v>9</v>
      </c>
      <c r="F11" t="s">
        <v>9</v>
      </c>
      <c r="I11" s="2" t="s">
        <v>68</v>
      </c>
      <c r="J11" s="2" t="s">
        <v>67</v>
      </c>
    </row>
    <row r="12" spans="1:10" x14ac:dyDescent="0.2">
      <c r="A12" t="s">
        <v>10</v>
      </c>
      <c r="B12">
        <v>70292</v>
      </c>
      <c r="C12" s="1">
        <v>1.7599999999999999E-14</v>
      </c>
      <c r="D12" t="s">
        <v>9</v>
      </c>
      <c r="E12" t="s">
        <v>9</v>
      </c>
      <c r="F12" t="s">
        <v>9</v>
      </c>
      <c r="I12" s="2" t="e">
        <v>#N/A</v>
      </c>
      <c r="J12" s="2" t="s">
        <v>10</v>
      </c>
    </row>
    <row r="13" spans="1:10" x14ac:dyDescent="0.2">
      <c r="A13" t="s">
        <v>76</v>
      </c>
      <c r="B13">
        <v>1416</v>
      </c>
      <c r="C13" t="s">
        <v>9</v>
      </c>
      <c r="D13" s="3">
        <v>1E-22</v>
      </c>
      <c r="E13" t="s">
        <v>9</v>
      </c>
      <c r="F13" s="1">
        <v>1.0000000000000001E-18</v>
      </c>
      <c r="H13" s="3">
        <v>1.0000000000000001E-33</v>
      </c>
      <c r="I13" s="2" t="s">
        <v>76</v>
      </c>
      <c r="J13" s="2" t="s">
        <v>76</v>
      </c>
    </row>
    <row r="14" spans="1:10" x14ac:dyDescent="0.2">
      <c r="A14" t="s">
        <v>11</v>
      </c>
      <c r="B14">
        <v>64652</v>
      </c>
      <c r="C14" t="s">
        <v>9</v>
      </c>
      <c r="D14" s="1">
        <v>1</v>
      </c>
      <c r="E14" s="1">
        <v>1.6E-34</v>
      </c>
      <c r="F14" s="1">
        <v>1.0000000000000001E-5</v>
      </c>
      <c r="I14" s="2" t="s">
        <v>12</v>
      </c>
      <c r="J14" s="2" t="s">
        <v>11</v>
      </c>
    </row>
    <row r="15" spans="1:10" x14ac:dyDescent="0.2">
      <c r="A15" t="s">
        <v>42</v>
      </c>
      <c r="B15">
        <v>4391</v>
      </c>
      <c r="C15" t="s">
        <v>9</v>
      </c>
      <c r="D15" t="s">
        <v>9</v>
      </c>
      <c r="E15" t="s">
        <v>9</v>
      </c>
      <c r="F15" t="s">
        <v>9</v>
      </c>
      <c r="I15" s="2" t="e">
        <v>#N/A</v>
      </c>
      <c r="J15" s="2" t="s">
        <v>42</v>
      </c>
    </row>
    <row r="16" spans="1:10" x14ac:dyDescent="0.2">
      <c r="A16" t="s">
        <v>8</v>
      </c>
      <c r="B16">
        <v>181396</v>
      </c>
      <c r="C16" t="s">
        <v>9</v>
      </c>
      <c r="D16" t="s">
        <v>9</v>
      </c>
      <c r="F16" t="s">
        <v>9</v>
      </c>
      <c r="I16" s="2" t="e">
        <v>#N/A</v>
      </c>
      <c r="J16" s="2" t="e">
        <v>#N/A</v>
      </c>
    </row>
    <row r="17" spans="1:10" x14ac:dyDescent="0.2">
      <c r="A17" t="s">
        <v>13</v>
      </c>
      <c r="B17">
        <v>50752</v>
      </c>
      <c r="C17" t="s">
        <v>9</v>
      </c>
      <c r="D17" t="s">
        <v>9</v>
      </c>
      <c r="E17" t="s">
        <v>9</v>
      </c>
      <c r="F17" t="s">
        <v>9</v>
      </c>
      <c r="I17" s="2" t="e">
        <v>#N/A</v>
      </c>
      <c r="J17" s="2" t="e">
        <v>#N/A</v>
      </c>
    </row>
    <row r="18" spans="1:10" x14ac:dyDescent="0.2">
      <c r="A18" t="s">
        <v>14</v>
      </c>
      <c r="B18">
        <v>39619</v>
      </c>
      <c r="C18" t="s">
        <v>9</v>
      </c>
      <c r="D18" t="s">
        <v>9</v>
      </c>
      <c r="E18" t="s">
        <v>9</v>
      </c>
      <c r="F18" t="s">
        <v>9</v>
      </c>
      <c r="I18" s="2" t="e">
        <v>#N/A</v>
      </c>
      <c r="J18" s="2" t="e">
        <v>#N/A</v>
      </c>
    </row>
    <row r="19" spans="1:10" x14ac:dyDescent="0.2">
      <c r="A19" t="s">
        <v>15</v>
      </c>
      <c r="B19">
        <v>30870</v>
      </c>
      <c r="C19" t="s">
        <v>9</v>
      </c>
      <c r="D19" t="s">
        <v>9</v>
      </c>
      <c r="E19" t="s">
        <v>9</v>
      </c>
      <c r="F19" t="s">
        <v>9</v>
      </c>
      <c r="I19" s="2" t="e">
        <v>#N/A</v>
      </c>
      <c r="J19" s="2" t="e">
        <v>#N/A</v>
      </c>
    </row>
    <row r="20" spans="1:10" x14ac:dyDescent="0.2">
      <c r="A20" t="s">
        <v>17</v>
      </c>
      <c r="B20">
        <v>30095</v>
      </c>
      <c r="C20" t="s">
        <v>9</v>
      </c>
      <c r="D20" t="s">
        <v>9</v>
      </c>
      <c r="E20" t="s">
        <v>9</v>
      </c>
      <c r="F20" t="s">
        <v>9</v>
      </c>
      <c r="I20" s="2" t="e">
        <v>#N/A</v>
      </c>
      <c r="J20" s="2" t="e">
        <v>#N/A</v>
      </c>
    </row>
    <row r="21" spans="1:10" x14ac:dyDescent="0.2">
      <c r="A21" t="s">
        <v>18</v>
      </c>
      <c r="B21">
        <v>28330</v>
      </c>
      <c r="C21" t="s">
        <v>9</v>
      </c>
      <c r="D21" t="s">
        <v>9</v>
      </c>
      <c r="E21" t="s">
        <v>9</v>
      </c>
      <c r="F21" t="s">
        <v>9</v>
      </c>
      <c r="I21" s="2" t="e">
        <v>#N/A</v>
      </c>
      <c r="J21" s="2" t="e">
        <v>#N/A</v>
      </c>
    </row>
    <row r="22" spans="1:10" x14ac:dyDescent="0.2">
      <c r="A22" t="s">
        <v>19</v>
      </c>
      <c r="B22">
        <v>23262</v>
      </c>
      <c r="C22" t="s">
        <v>9</v>
      </c>
      <c r="D22" t="s">
        <v>9</v>
      </c>
      <c r="E22" t="s">
        <v>9</v>
      </c>
      <c r="F22" t="s">
        <v>9</v>
      </c>
      <c r="I22" s="2" t="e">
        <v>#N/A</v>
      </c>
      <c r="J22" s="2" t="e">
        <v>#N/A</v>
      </c>
    </row>
    <row r="23" spans="1:10" x14ac:dyDescent="0.2">
      <c r="A23" t="s">
        <v>20</v>
      </c>
      <c r="B23">
        <v>22129</v>
      </c>
      <c r="C23" t="s">
        <v>9</v>
      </c>
      <c r="D23" t="s">
        <v>9</v>
      </c>
      <c r="E23" t="s">
        <v>9</v>
      </c>
      <c r="F23" t="s">
        <v>9</v>
      </c>
      <c r="I23" s="2" t="e">
        <v>#N/A</v>
      </c>
      <c r="J23" s="2" t="e">
        <v>#N/A</v>
      </c>
    </row>
    <row r="24" spans="1:10" x14ac:dyDescent="0.2">
      <c r="A24" t="s">
        <v>21</v>
      </c>
      <c r="B24">
        <v>21216</v>
      </c>
      <c r="C24" t="s">
        <v>9</v>
      </c>
      <c r="D24" t="s">
        <v>9</v>
      </c>
      <c r="E24" t="s">
        <v>9</v>
      </c>
      <c r="F24" t="s">
        <v>9</v>
      </c>
      <c r="I24" s="2" t="e">
        <v>#N/A</v>
      </c>
      <c r="J24" s="2" t="e">
        <v>#N/A</v>
      </c>
    </row>
    <row r="25" spans="1:10" x14ac:dyDescent="0.2">
      <c r="A25" t="s">
        <v>22</v>
      </c>
      <c r="B25">
        <v>16883</v>
      </c>
      <c r="C25" t="s">
        <v>9</v>
      </c>
      <c r="D25" t="s">
        <v>9</v>
      </c>
      <c r="E25" t="s">
        <v>9</v>
      </c>
      <c r="F25" t="s">
        <v>9</v>
      </c>
      <c r="I25" s="2" t="e">
        <v>#N/A</v>
      </c>
      <c r="J25" s="2" t="e">
        <v>#N/A</v>
      </c>
    </row>
    <row r="26" spans="1:10" x14ac:dyDescent="0.2">
      <c r="A26" t="s">
        <v>23</v>
      </c>
      <c r="B26">
        <v>12061</v>
      </c>
      <c r="C26" t="s">
        <v>9</v>
      </c>
      <c r="D26" t="s">
        <v>9</v>
      </c>
      <c r="E26" t="s">
        <v>9</v>
      </c>
      <c r="F26" t="s">
        <v>9</v>
      </c>
      <c r="I26" s="2" t="e">
        <v>#N/A</v>
      </c>
      <c r="J26" s="2" t="e">
        <v>#N/A</v>
      </c>
    </row>
    <row r="27" spans="1:10" x14ac:dyDescent="0.2">
      <c r="A27" t="s">
        <v>25</v>
      </c>
      <c r="B27">
        <v>9654</v>
      </c>
      <c r="C27" t="s">
        <v>9</v>
      </c>
      <c r="D27" t="s">
        <v>9</v>
      </c>
      <c r="E27" t="s">
        <v>9</v>
      </c>
      <c r="F27" t="s">
        <v>9</v>
      </c>
      <c r="I27" s="2" t="e">
        <v>#N/A</v>
      </c>
      <c r="J27" s="2" t="e">
        <v>#N/A</v>
      </c>
    </row>
    <row r="28" spans="1:10" x14ac:dyDescent="0.2">
      <c r="A28" t="s">
        <v>26</v>
      </c>
      <c r="B28">
        <v>8746</v>
      </c>
      <c r="C28" t="s">
        <v>9</v>
      </c>
      <c r="D28" t="s">
        <v>9</v>
      </c>
      <c r="E28" t="s">
        <v>9</v>
      </c>
      <c r="F28" t="s">
        <v>9</v>
      </c>
      <c r="I28" s="2" t="e">
        <v>#N/A</v>
      </c>
      <c r="J28" s="2" t="e">
        <v>#N/A</v>
      </c>
    </row>
    <row r="29" spans="1:10" x14ac:dyDescent="0.2">
      <c r="A29" t="s">
        <v>27</v>
      </c>
      <c r="B29">
        <v>7005</v>
      </c>
      <c r="C29" t="s">
        <v>9</v>
      </c>
      <c r="D29" s="1">
        <v>1</v>
      </c>
      <c r="E29" t="s">
        <v>9</v>
      </c>
      <c r="F29" s="1">
        <v>1E-4</v>
      </c>
      <c r="I29" s="2" t="s">
        <v>27</v>
      </c>
      <c r="J29" s="2" t="e">
        <v>#N/A</v>
      </c>
    </row>
    <row r="30" spans="1:10" x14ac:dyDescent="0.2">
      <c r="A30" t="s">
        <v>28</v>
      </c>
      <c r="B30">
        <v>6476</v>
      </c>
      <c r="C30" t="s">
        <v>9</v>
      </c>
      <c r="D30" s="1">
        <v>1</v>
      </c>
      <c r="E30" t="s">
        <v>9</v>
      </c>
      <c r="F30" s="1">
        <v>0.01</v>
      </c>
      <c r="I30" s="2" t="e">
        <v>#N/A</v>
      </c>
      <c r="J30" s="2" t="e">
        <v>#N/A</v>
      </c>
    </row>
    <row r="31" spans="1:10" x14ac:dyDescent="0.2">
      <c r="A31" t="s">
        <v>29</v>
      </c>
      <c r="B31">
        <v>5903</v>
      </c>
      <c r="C31" t="s">
        <v>9</v>
      </c>
      <c r="D31" t="s">
        <v>9</v>
      </c>
      <c r="E31" t="s">
        <v>9</v>
      </c>
      <c r="F31" t="s">
        <v>9</v>
      </c>
      <c r="I31" s="2" t="e">
        <v>#N/A</v>
      </c>
      <c r="J31" s="2" t="e">
        <v>#N/A</v>
      </c>
    </row>
    <row r="32" spans="1:10" x14ac:dyDescent="0.2">
      <c r="A32" t="s">
        <v>30</v>
      </c>
      <c r="B32">
        <v>5837</v>
      </c>
      <c r="C32" t="s">
        <v>9</v>
      </c>
      <c r="D32" s="1">
        <v>1</v>
      </c>
      <c r="E32" t="s">
        <v>9</v>
      </c>
      <c r="F32" s="1">
        <v>1</v>
      </c>
      <c r="I32" s="2" t="s">
        <v>30</v>
      </c>
      <c r="J32" s="2" t="e">
        <v>#N/A</v>
      </c>
    </row>
    <row r="33" spans="1:10" x14ac:dyDescent="0.2">
      <c r="A33" t="s">
        <v>31</v>
      </c>
      <c r="B33">
        <v>5824</v>
      </c>
      <c r="C33" t="s">
        <v>9</v>
      </c>
      <c r="D33" t="s">
        <v>9</v>
      </c>
      <c r="E33" t="s">
        <v>9</v>
      </c>
      <c r="F33" t="s">
        <v>9</v>
      </c>
      <c r="I33" s="2" t="e">
        <v>#N/A</v>
      </c>
      <c r="J33" s="2" t="e">
        <v>#N/A</v>
      </c>
    </row>
    <row r="34" spans="1:10" x14ac:dyDescent="0.2">
      <c r="A34" t="s">
        <v>32</v>
      </c>
      <c r="B34">
        <v>5703</v>
      </c>
      <c r="C34" t="s">
        <v>9</v>
      </c>
      <c r="D34" t="s">
        <v>9</v>
      </c>
      <c r="E34" t="s">
        <v>9</v>
      </c>
      <c r="F34" t="s">
        <v>9</v>
      </c>
      <c r="I34" s="2" t="e">
        <v>#N/A</v>
      </c>
      <c r="J34" s="2" t="e">
        <v>#N/A</v>
      </c>
    </row>
    <row r="35" spans="1:10" x14ac:dyDescent="0.2">
      <c r="A35" t="s">
        <v>33</v>
      </c>
      <c r="B35">
        <v>5661</v>
      </c>
      <c r="C35" t="s">
        <v>9</v>
      </c>
      <c r="D35" s="1">
        <v>0.1</v>
      </c>
      <c r="E35" t="s">
        <v>9</v>
      </c>
      <c r="F35" s="1">
        <v>0.1</v>
      </c>
      <c r="I35" s="2" t="e">
        <v>#N/A</v>
      </c>
      <c r="J35" s="2" t="e">
        <v>#N/A</v>
      </c>
    </row>
    <row r="36" spans="1:10" x14ac:dyDescent="0.2">
      <c r="A36" t="s">
        <v>34</v>
      </c>
      <c r="B36">
        <v>5319</v>
      </c>
      <c r="C36" t="s">
        <v>9</v>
      </c>
      <c r="D36" t="s">
        <v>9</v>
      </c>
      <c r="E36" t="s">
        <v>9</v>
      </c>
      <c r="F36" t="s">
        <v>9</v>
      </c>
      <c r="I36" s="2" t="e">
        <v>#N/A</v>
      </c>
      <c r="J36" s="2" t="e">
        <v>#N/A</v>
      </c>
    </row>
    <row r="37" spans="1:10" x14ac:dyDescent="0.2">
      <c r="A37" t="s">
        <v>35</v>
      </c>
      <c r="B37">
        <v>5185</v>
      </c>
      <c r="C37" t="s">
        <v>9</v>
      </c>
      <c r="D37" t="s">
        <v>9</v>
      </c>
      <c r="E37" t="s">
        <v>9</v>
      </c>
      <c r="F37" t="s">
        <v>9</v>
      </c>
      <c r="I37" s="2" t="e">
        <v>#N/A</v>
      </c>
      <c r="J37" s="2" t="e">
        <v>#N/A</v>
      </c>
    </row>
    <row r="38" spans="1:10" x14ac:dyDescent="0.2">
      <c r="A38" t="s">
        <v>36</v>
      </c>
      <c r="B38">
        <v>5138</v>
      </c>
      <c r="C38" t="s">
        <v>9</v>
      </c>
      <c r="D38" s="1">
        <v>1</v>
      </c>
      <c r="E38" t="s">
        <v>9</v>
      </c>
      <c r="F38" s="1">
        <v>0.1</v>
      </c>
      <c r="I38" s="2" t="e">
        <v>#N/A</v>
      </c>
      <c r="J38" s="2" t="e">
        <v>#N/A</v>
      </c>
    </row>
    <row r="39" spans="1:10" x14ac:dyDescent="0.2">
      <c r="A39" t="s">
        <v>37</v>
      </c>
      <c r="B39">
        <v>4896</v>
      </c>
      <c r="C39" t="s">
        <v>9</v>
      </c>
      <c r="D39" s="1">
        <v>1</v>
      </c>
      <c r="E39" t="s">
        <v>9</v>
      </c>
      <c r="F39" s="1">
        <v>1</v>
      </c>
      <c r="I39" s="2" t="s">
        <v>38</v>
      </c>
      <c r="J39" s="2" t="e">
        <v>#N/A</v>
      </c>
    </row>
    <row r="40" spans="1:10" x14ac:dyDescent="0.2">
      <c r="A40" t="s">
        <v>40</v>
      </c>
      <c r="B40">
        <v>4749</v>
      </c>
      <c r="C40" t="s">
        <v>9</v>
      </c>
      <c r="D40" t="s">
        <v>9</v>
      </c>
      <c r="E40" t="s">
        <v>9</v>
      </c>
      <c r="F40" t="s">
        <v>9</v>
      </c>
      <c r="I40" s="2" t="e">
        <v>#N/A</v>
      </c>
      <c r="J40" s="2" t="e">
        <v>#N/A</v>
      </c>
    </row>
    <row r="41" spans="1:10" x14ac:dyDescent="0.2">
      <c r="A41" t="s">
        <v>41</v>
      </c>
      <c r="B41">
        <v>4492</v>
      </c>
      <c r="C41" t="s">
        <v>9</v>
      </c>
      <c r="D41" t="s">
        <v>9</v>
      </c>
      <c r="E41" t="s">
        <v>9</v>
      </c>
      <c r="F41" t="s">
        <v>9</v>
      </c>
      <c r="I41" s="2" t="e">
        <v>#N/A</v>
      </c>
      <c r="J41" s="2" t="e">
        <v>#N/A</v>
      </c>
    </row>
    <row r="42" spans="1:10" x14ac:dyDescent="0.2">
      <c r="A42" t="s">
        <v>43</v>
      </c>
      <c r="B42">
        <v>4325</v>
      </c>
      <c r="C42" t="s">
        <v>9</v>
      </c>
      <c r="D42" t="s">
        <v>9</v>
      </c>
      <c r="E42" t="s">
        <v>9</v>
      </c>
      <c r="F42" t="s">
        <v>9</v>
      </c>
      <c r="I42" s="2" t="e">
        <v>#N/A</v>
      </c>
      <c r="J42" s="2" t="e">
        <v>#N/A</v>
      </c>
    </row>
    <row r="43" spans="1:10" x14ac:dyDescent="0.2">
      <c r="A43" t="s">
        <v>44</v>
      </c>
      <c r="B43">
        <v>3970</v>
      </c>
      <c r="C43" t="s">
        <v>9</v>
      </c>
      <c r="D43" t="s">
        <v>9</v>
      </c>
      <c r="E43" t="s">
        <v>9</v>
      </c>
      <c r="F43" t="s">
        <v>9</v>
      </c>
      <c r="I43" s="2" t="e">
        <v>#N/A</v>
      </c>
      <c r="J43" s="2" t="e">
        <v>#N/A</v>
      </c>
    </row>
    <row r="44" spans="1:10" x14ac:dyDescent="0.2">
      <c r="A44" t="s">
        <v>47</v>
      </c>
      <c r="B44">
        <v>3859</v>
      </c>
      <c r="C44" t="s">
        <v>9</v>
      </c>
      <c r="D44" t="s">
        <v>9</v>
      </c>
      <c r="E44" t="s">
        <v>9</v>
      </c>
      <c r="F44" t="s">
        <v>9</v>
      </c>
      <c r="I44" s="2" t="e">
        <v>#N/A</v>
      </c>
      <c r="J44" s="2" t="e">
        <v>#N/A</v>
      </c>
    </row>
    <row r="45" spans="1:10" x14ac:dyDescent="0.2">
      <c r="A45" t="s">
        <v>48</v>
      </c>
      <c r="B45">
        <v>3745</v>
      </c>
      <c r="C45" t="s">
        <v>9</v>
      </c>
      <c r="D45" t="s">
        <v>9</v>
      </c>
      <c r="E45" t="s">
        <v>9</v>
      </c>
      <c r="F45" t="s">
        <v>9</v>
      </c>
      <c r="I45" s="2" t="e">
        <v>#N/A</v>
      </c>
      <c r="J45" s="2" t="e">
        <v>#N/A</v>
      </c>
    </row>
    <row r="46" spans="1:10" x14ac:dyDescent="0.2">
      <c r="A46" t="s">
        <v>49</v>
      </c>
      <c r="B46">
        <v>3599</v>
      </c>
      <c r="C46" t="s">
        <v>9</v>
      </c>
      <c r="D46" t="s">
        <v>9</v>
      </c>
      <c r="E46" t="s">
        <v>9</v>
      </c>
      <c r="F46" t="s">
        <v>9</v>
      </c>
      <c r="I46" s="2" t="e">
        <v>#N/A</v>
      </c>
      <c r="J46" s="2" t="e">
        <v>#N/A</v>
      </c>
    </row>
    <row r="47" spans="1:10" x14ac:dyDescent="0.2">
      <c r="A47" t="s">
        <v>50</v>
      </c>
      <c r="B47">
        <v>3449</v>
      </c>
      <c r="C47" t="s">
        <v>9</v>
      </c>
      <c r="D47" t="s">
        <v>9</v>
      </c>
      <c r="E47" t="s">
        <v>9</v>
      </c>
      <c r="F47" t="s">
        <v>9</v>
      </c>
      <c r="I47" s="2" t="e">
        <v>#N/A</v>
      </c>
      <c r="J47" s="2" t="e">
        <v>#N/A</v>
      </c>
    </row>
    <row r="48" spans="1:10" x14ac:dyDescent="0.2">
      <c r="A48" t="s">
        <v>51</v>
      </c>
      <c r="B48">
        <v>3400</v>
      </c>
      <c r="C48" t="s">
        <v>9</v>
      </c>
      <c r="D48" t="s">
        <v>9</v>
      </c>
      <c r="E48" t="s">
        <v>9</v>
      </c>
      <c r="F48" t="s">
        <v>9</v>
      </c>
      <c r="I48" s="2" t="e">
        <v>#N/A</v>
      </c>
      <c r="J48" s="2" t="e">
        <v>#N/A</v>
      </c>
    </row>
    <row r="49" spans="1:10" x14ac:dyDescent="0.2">
      <c r="A49" t="s">
        <v>52</v>
      </c>
      <c r="B49">
        <v>3331</v>
      </c>
      <c r="C49" t="s">
        <v>9</v>
      </c>
      <c r="D49" s="1">
        <v>0.1</v>
      </c>
      <c r="E49" t="s">
        <v>9</v>
      </c>
      <c r="F49" s="1">
        <v>1</v>
      </c>
      <c r="I49" s="2" t="s">
        <v>53</v>
      </c>
      <c r="J49" s="2" t="e">
        <v>#N/A</v>
      </c>
    </row>
    <row r="50" spans="1:10" x14ac:dyDescent="0.2">
      <c r="A50" t="s">
        <v>54</v>
      </c>
      <c r="B50">
        <v>3099</v>
      </c>
      <c r="C50" t="s">
        <v>9</v>
      </c>
      <c r="D50" t="s">
        <v>9</v>
      </c>
      <c r="E50" t="s">
        <v>9</v>
      </c>
      <c r="F50" t="s">
        <v>9</v>
      </c>
      <c r="I50" s="2" t="e">
        <v>#N/A</v>
      </c>
      <c r="J50" s="2" t="e">
        <v>#N/A</v>
      </c>
    </row>
    <row r="51" spans="1:10" x14ac:dyDescent="0.2">
      <c r="A51" t="s">
        <v>55</v>
      </c>
      <c r="B51">
        <v>2959</v>
      </c>
      <c r="C51" t="s">
        <v>9</v>
      </c>
      <c r="D51" t="s">
        <v>9</v>
      </c>
      <c r="E51" t="s">
        <v>9</v>
      </c>
      <c r="F51" t="s">
        <v>9</v>
      </c>
      <c r="I51" s="2" t="e">
        <v>#N/A</v>
      </c>
      <c r="J51" s="2" t="e">
        <v>#N/A</v>
      </c>
    </row>
    <row r="52" spans="1:10" x14ac:dyDescent="0.2">
      <c r="A52" t="s">
        <v>56</v>
      </c>
      <c r="B52">
        <v>2942</v>
      </c>
      <c r="C52" t="s">
        <v>9</v>
      </c>
      <c r="D52" t="s">
        <v>9</v>
      </c>
      <c r="E52" t="s">
        <v>9</v>
      </c>
      <c r="F52" t="s">
        <v>9</v>
      </c>
      <c r="I52" s="2" t="e">
        <v>#N/A</v>
      </c>
      <c r="J52" s="2" t="e">
        <v>#N/A</v>
      </c>
    </row>
    <row r="53" spans="1:10" x14ac:dyDescent="0.2">
      <c r="A53" t="s">
        <v>57</v>
      </c>
      <c r="B53">
        <v>2651</v>
      </c>
      <c r="C53" t="s">
        <v>9</v>
      </c>
      <c r="D53" t="s">
        <v>9</v>
      </c>
      <c r="E53" t="s">
        <v>9</v>
      </c>
      <c r="F53" t="s">
        <v>9</v>
      </c>
      <c r="I53" s="2" t="e">
        <v>#N/A</v>
      </c>
      <c r="J53" s="2" t="e">
        <v>#N/A</v>
      </c>
    </row>
    <row r="54" spans="1:10" x14ac:dyDescent="0.2">
      <c r="A54" t="s">
        <v>58</v>
      </c>
      <c r="B54">
        <v>2516</v>
      </c>
      <c r="C54" t="s">
        <v>9</v>
      </c>
      <c r="D54" t="s">
        <v>9</v>
      </c>
      <c r="E54" t="s">
        <v>9</v>
      </c>
      <c r="F54" t="s">
        <v>9</v>
      </c>
      <c r="I54" s="2" t="e">
        <v>#N/A</v>
      </c>
      <c r="J54" s="2" t="e">
        <v>#N/A</v>
      </c>
    </row>
    <row r="55" spans="1:10" x14ac:dyDescent="0.2">
      <c r="A55" t="s">
        <v>59</v>
      </c>
      <c r="B55">
        <v>2496</v>
      </c>
      <c r="C55" t="s">
        <v>9</v>
      </c>
      <c r="D55" t="s">
        <v>9</v>
      </c>
      <c r="E55" t="s">
        <v>9</v>
      </c>
      <c r="F55" t="s">
        <v>9</v>
      </c>
      <c r="I55" s="2" t="e">
        <v>#N/A</v>
      </c>
      <c r="J55" s="2" t="e">
        <v>#N/A</v>
      </c>
    </row>
    <row r="56" spans="1:10" x14ac:dyDescent="0.2">
      <c r="A56" t="s">
        <v>60</v>
      </c>
      <c r="B56">
        <v>2458</v>
      </c>
      <c r="C56" t="s">
        <v>9</v>
      </c>
      <c r="D56" t="s">
        <v>9</v>
      </c>
      <c r="E56" t="s">
        <v>9</v>
      </c>
      <c r="F56" t="s">
        <v>9</v>
      </c>
      <c r="I56" s="2" t="e">
        <v>#N/A</v>
      </c>
      <c r="J56" s="2" t="e">
        <v>#N/A</v>
      </c>
    </row>
    <row r="57" spans="1:10" x14ac:dyDescent="0.2">
      <c r="A57" t="s">
        <v>62</v>
      </c>
      <c r="B57">
        <v>2123</v>
      </c>
      <c r="C57" t="s">
        <v>9</v>
      </c>
      <c r="D57" t="s">
        <v>9</v>
      </c>
      <c r="E57" t="s">
        <v>9</v>
      </c>
      <c r="F57" t="s">
        <v>9</v>
      </c>
      <c r="I57" s="2" t="e">
        <v>#N/A</v>
      </c>
      <c r="J57" s="2" t="e">
        <v>#N/A</v>
      </c>
    </row>
    <row r="58" spans="1:10" x14ac:dyDescent="0.2">
      <c r="A58" t="s">
        <v>63</v>
      </c>
      <c r="B58">
        <v>2122</v>
      </c>
      <c r="C58" t="s">
        <v>9</v>
      </c>
      <c r="D58" t="s">
        <v>9</v>
      </c>
      <c r="E58" t="s">
        <v>9</v>
      </c>
      <c r="F58" t="s">
        <v>9</v>
      </c>
      <c r="I58" s="2" t="e">
        <v>#N/A</v>
      </c>
      <c r="J58" s="2" t="e">
        <v>#N/A</v>
      </c>
    </row>
    <row r="59" spans="1:10" x14ac:dyDescent="0.2">
      <c r="A59" t="s">
        <v>64</v>
      </c>
      <c r="B59">
        <v>1980</v>
      </c>
      <c r="C59" t="s">
        <v>9</v>
      </c>
      <c r="D59" t="s">
        <v>9</v>
      </c>
      <c r="E59" t="s">
        <v>9</v>
      </c>
      <c r="F59" t="s">
        <v>9</v>
      </c>
      <c r="I59" s="2" t="e">
        <v>#N/A</v>
      </c>
      <c r="J59" s="2" t="e">
        <v>#N/A</v>
      </c>
    </row>
    <row r="60" spans="1:10" x14ac:dyDescent="0.2">
      <c r="A60" t="s">
        <v>65</v>
      </c>
      <c r="B60">
        <v>1818</v>
      </c>
      <c r="C60" t="s">
        <v>9</v>
      </c>
      <c r="D60" t="s">
        <v>9</v>
      </c>
      <c r="E60" t="s">
        <v>9</v>
      </c>
      <c r="F60" t="s">
        <v>9</v>
      </c>
      <c r="I60" s="2" t="e">
        <v>#N/A</v>
      </c>
      <c r="J60" s="2" t="e">
        <v>#N/A</v>
      </c>
    </row>
    <row r="61" spans="1:10" x14ac:dyDescent="0.2">
      <c r="A61" t="s">
        <v>66</v>
      </c>
      <c r="B61">
        <v>1792</v>
      </c>
      <c r="C61" t="s">
        <v>9</v>
      </c>
      <c r="D61" t="s">
        <v>9</v>
      </c>
      <c r="E61" t="s">
        <v>9</v>
      </c>
      <c r="F61" t="s">
        <v>9</v>
      </c>
      <c r="I61" s="2" t="e">
        <v>#N/A</v>
      </c>
      <c r="J61" s="2" t="e">
        <v>#N/A</v>
      </c>
    </row>
    <row r="62" spans="1:10" x14ac:dyDescent="0.2">
      <c r="A62" t="s">
        <v>69</v>
      </c>
      <c r="B62">
        <v>1758</v>
      </c>
      <c r="C62" t="s">
        <v>9</v>
      </c>
      <c r="D62" t="s">
        <v>9</v>
      </c>
      <c r="E62" t="s">
        <v>9</v>
      </c>
      <c r="F62" t="s">
        <v>9</v>
      </c>
      <c r="I62" s="2" t="e">
        <v>#N/A</v>
      </c>
      <c r="J62" s="2" t="e">
        <v>#N/A</v>
      </c>
    </row>
    <row r="63" spans="1:10" x14ac:dyDescent="0.2">
      <c r="A63" t="s">
        <v>70</v>
      </c>
      <c r="B63">
        <v>1736</v>
      </c>
      <c r="C63" t="s">
        <v>9</v>
      </c>
      <c r="D63" s="1">
        <v>1</v>
      </c>
      <c r="E63" t="s">
        <v>9</v>
      </c>
      <c r="F63" s="1">
        <v>1</v>
      </c>
      <c r="I63" s="2" t="s">
        <v>70</v>
      </c>
      <c r="J63" s="2" t="e">
        <v>#N/A</v>
      </c>
    </row>
    <row r="64" spans="1:10" x14ac:dyDescent="0.2">
      <c r="A64" t="s">
        <v>72</v>
      </c>
      <c r="B64">
        <v>1546</v>
      </c>
      <c r="C64" t="s">
        <v>9</v>
      </c>
      <c r="D64" t="s">
        <v>9</v>
      </c>
      <c r="E64" t="s">
        <v>9</v>
      </c>
      <c r="F64" t="s">
        <v>9</v>
      </c>
      <c r="I64" s="2" t="e">
        <v>#N/A</v>
      </c>
      <c r="J64" s="2" t="e">
        <v>#N/A</v>
      </c>
    </row>
    <row r="65" spans="1:10" x14ac:dyDescent="0.2">
      <c r="A65" t="s">
        <v>73</v>
      </c>
      <c r="B65">
        <v>1535</v>
      </c>
      <c r="C65" t="s">
        <v>9</v>
      </c>
      <c r="D65" t="s">
        <v>9</v>
      </c>
      <c r="E65" t="s">
        <v>9</v>
      </c>
      <c r="F65" t="s">
        <v>9</v>
      </c>
      <c r="I65" s="2" t="e">
        <v>#N/A</v>
      </c>
      <c r="J65" s="2" t="e">
        <v>#N/A</v>
      </c>
    </row>
    <row r="66" spans="1:10" x14ac:dyDescent="0.2">
      <c r="A66" t="s">
        <v>74</v>
      </c>
      <c r="B66">
        <v>1508</v>
      </c>
      <c r="C66" t="s">
        <v>9</v>
      </c>
      <c r="D66" t="s">
        <v>9</v>
      </c>
      <c r="E66" t="s">
        <v>9</v>
      </c>
      <c r="F66" t="s">
        <v>9</v>
      </c>
      <c r="I66" s="2" t="e">
        <v>#N/A</v>
      </c>
      <c r="J66" s="2" t="e">
        <v>#N/A</v>
      </c>
    </row>
    <row r="67" spans="1:10" x14ac:dyDescent="0.2">
      <c r="A67" t="s">
        <v>75</v>
      </c>
      <c r="B67">
        <v>1490</v>
      </c>
      <c r="C67" t="s">
        <v>9</v>
      </c>
      <c r="D67" t="s">
        <v>9</v>
      </c>
      <c r="E67" t="s">
        <v>9</v>
      </c>
      <c r="F67" t="s">
        <v>9</v>
      </c>
      <c r="I67" s="2" t="e">
        <v>#N/A</v>
      </c>
      <c r="J67" s="2" t="e">
        <v>#N/A</v>
      </c>
    </row>
    <row r="68" spans="1:10" x14ac:dyDescent="0.2">
      <c r="A68" t="s">
        <v>77</v>
      </c>
      <c r="B68">
        <v>1316</v>
      </c>
      <c r="C68" t="s">
        <v>9</v>
      </c>
      <c r="D68" t="s">
        <v>9</v>
      </c>
      <c r="E68" t="s">
        <v>9</v>
      </c>
      <c r="F68" t="s">
        <v>9</v>
      </c>
      <c r="I68" s="2" t="e">
        <v>#N/A</v>
      </c>
      <c r="J68" s="2" t="e">
        <v>#N/A</v>
      </c>
    </row>
    <row r="69" spans="1:10" x14ac:dyDescent="0.2">
      <c r="A69" t="s">
        <v>78</v>
      </c>
      <c r="B69">
        <v>1277</v>
      </c>
      <c r="C69" t="s">
        <v>9</v>
      </c>
      <c r="D69" t="s">
        <v>9</v>
      </c>
      <c r="E69" t="s">
        <v>9</v>
      </c>
      <c r="F69" t="s">
        <v>9</v>
      </c>
      <c r="I69" s="2" t="e">
        <v>#N/A</v>
      </c>
      <c r="J69" s="2" t="e">
        <v>#N/A</v>
      </c>
    </row>
    <row r="70" spans="1:10" x14ac:dyDescent="0.2">
      <c r="A70" t="s">
        <v>79</v>
      </c>
      <c r="B70">
        <v>1262</v>
      </c>
      <c r="C70" t="s">
        <v>9</v>
      </c>
      <c r="D70" t="s">
        <v>9</v>
      </c>
      <c r="E70" t="s">
        <v>9</v>
      </c>
      <c r="F70" t="s">
        <v>9</v>
      </c>
      <c r="I70" s="2" t="e">
        <v>#N/A</v>
      </c>
      <c r="J70" s="2" t="e">
        <v>#N/A</v>
      </c>
    </row>
    <row r="71" spans="1:10" x14ac:dyDescent="0.2">
      <c r="A71" t="s">
        <v>80</v>
      </c>
      <c r="B71">
        <v>1262</v>
      </c>
      <c r="C71" t="s">
        <v>9</v>
      </c>
      <c r="D71" t="s">
        <v>9</v>
      </c>
      <c r="E71" t="s">
        <v>9</v>
      </c>
      <c r="F71" t="s">
        <v>9</v>
      </c>
      <c r="I71" s="2" t="e">
        <v>#N/A</v>
      </c>
      <c r="J71" s="2" t="e">
        <v>#N/A</v>
      </c>
    </row>
    <row r="72" spans="1:10" x14ac:dyDescent="0.2">
      <c r="A72" t="s">
        <v>81</v>
      </c>
      <c r="B72">
        <v>1243</v>
      </c>
      <c r="C72" t="s">
        <v>9</v>
      </c>
      <c r="D72" t="s">
        <v>9</v>
      </c>
      <c r="E72" t="s">
        <v>9</v>
      </c>
      <c r="F72" t="s">
        <v>9</v>
      </c>
      <c r="I72" s="2" t="e">
        <v>#N/A</v>
      </c>
      <c r="J72" s="2" t="e">
        <v>#N/A</v>
      </c>
    </row>
    <row r="73" spans="1:10" x14ac:dyDescent="0.2">
      <c r="A73" t="s">
        <v>82</v>
      </c>
      <c r="B73">
        <v>1235</v>
      </c>
      <c r="C73" t="s">
        <v>9</v>
      </c>
      <c r="D73" t="s">
        <v>9</v>
      </c>
      <c r="E73" t="s">
        <v>9</v>
      </c>
      <c r="F73" t="s">
        <v>9</v>
      </c>
      <c r="I73" s="2" t="e">
        <v>#N/A</v>
      </c>
      <c r="J73" s="2" t="e">
        <v>#N/A</v>
      </c>
    </row>
    <row r="74" spans="1:10" x14ac:dyDescent="0.2">
      <c r="A74" t="s">
        <v>83</v>
      </c>
      <c r="B74">
        <v>1232</v>
      </c>
      <c r="C74" t="s">
        <v>9</v>
      </c>
      <c r="D74" t="s">
        <v>9</v>
      </c>
      <c r="E74" t="s">
        <v>9</v>
      </c>
      <c r="F74" t="s">
        <v>9</v>
      </c>
      <c r="I74" s="2" t="e">
        <v>#N/A</v>
      </c>
      <c r="J74" s="2" t="e">
        <v>#N/A</v>
      </c>
    </row>
    <row r="75" spans="1:10" x14ac:dyDescent="0.2">
      <c r="A75" t="s">
        <v>84</v>
      </c>
      <c r="B75">
        <v>1224</v>
      </c>
      <c r="C75" t="s">
        <v>9</v>
      </c>
      <c r="D75" s="1">
        <v>1</v>
      </c>
      <c r="E75" t="s">
        <v>9</v>
      </c>
      <c r="F75" s="1">
        <v>1</v>
      </c>
      <c r="I75" s="2" t="e">
        <v>#N/A</v>
      </c>
      <c r="J75" s="2" t="e">
        <v>#N/A</v>
      </c>
    </row>
    <row r="76" spans="1:10" x14ac:dyDescent="0.2">
      <c r="A76" t="s">
        <v>85</v>
      </c>
      <c r="B76">
        <v>1211</v>
      </c>
      <c r="C76" t="s">
        <v>9</v>
      </c>
      <c r="D76" t="s">
        <v>9</v>
      </c>
      <c r="E76" t="s">
        <v>9</v>
      </c>
      <c r="F76" t="s">
        <v>9</v>
      </c>
      <c r="I76" s="2" t="e">
        <v>#N/A</v>
      </c>
      <c r="J76" s="2" t="e">
        <v>#N/A</v>
      </c>
    </row>
    <row r="77" spans="1:10" x14ac:dyDescent="0.2">
      <c r="A77" t="s">
        <v>87</v>
      </c>
      <c r="B77">
        <v>1070</v>
      </c>
      <c r="C77" t="s">
        <v>9</v>
      </c>
      <c r="D77" t="s">
        <v>9</v>
      </c>
      <c r="E77" t="s">
        <v>9</v>
      </c>
      <c r="F77" t="s">
        <v>9</v>
      </c>
      <c r="I77" s="2" t="e">
        <v>#N/A</v>
      </c>
      <c r="J77" s="2" t="e">
        <v>#N/A</v>
      </c>
    </row>
    <row r="78" spans="1:10" x14ac:dyDescent="0.2">
      <c r="A78" t="s">
        <v>88</v>
      </c>
      <c r="B78">
        <v>1050</v>
      </c>
      <c r="C78" t="s">
        <v>9</v>
      </c>
      <c r="D78" t="s">
        <v>9</v>
      </c>
      <c r="E78" t="s">
        <v>9</v>
      </c>
      <c r="F78" t="s">
        <v>9</v>
      </c>
      <c r="I78" s="2" t="e">
        <v>#N/A</v>
      </c>
      <c r="J78" s="2" t="e">
        <v>#N/A</v>
      </c>
    </row>
    <row r="79" spans="1:10" x14ac:dyDescent="0.2">
      <c r="A79" t="s">
        <v>90</v>
      </c>
      <c r="B79">
        <v>1028</v>
      </c>
      <c r="C79" t="s">
        <v>9</v>
      </c>
      <c r="D79" t="s">
        <v>9</v>
      </c>
      <c r="E79" t="s">
        <v>9</v>
      </c>
      <c r="F79" t="s">
        <v>9</v>
      </c>
      <c r="I79" s="2" t="e">
        <v>#N/A</v>
      </c>
      <c r="J79" s="2" t="e">
        <v>#N/A</v>
      </c>
    </row>
    <row r="80" spans="1:10" x14ac:dyDescent="0.2">
      <c r="A80" t="s">
        <v>92</v>
      </c>
      <c r="B80">
        <v>1023</v>
      </c>
      <c r="C80" t="s">
        <v>9</v>
      </c>
      <c r="D80" t="s">
        <v>9</v>
      </c>
      <c r="E80" t="s">
        <v>9</v>
      </c>
      <c r="F80" t="s">
        <v>9</v>
      </c>
      <c r="I80" s="2" t="e">
        <v>#N/A</v>
      </c>
      <c r="J80" s="2" t="e">
        <v>#N/A</v>
      </c>
    </row>
  </sheetData>
  <sortState xmlns:xlrd2="http://schemas.microsoft.com/office/spreadsheetml/2017/richdata2" ref="A2:J80">
    <sortCondition ref="J1:J80"/>
  </sortState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F29F4-5E87-894B-81D5-522A9201AE9F}">
  <dimension ref="A4:E48"/>
  <sheetViews>
    <sheetView zoomScale="81" workbookViewId="0">
      <selection activeCell="C34" sqref="C34"/>
    </sheetView>
  </sheetViews>
  <sheetFormatPr baseColWidth="10" defaultRowHeight="16" x14ac:dyDescent="0.2"/>
  <sheetData>
    <row r="4" spans="1:5" x14ac:dyDescent="0.2">
      <c r="A4" s="40" t="s">
        <v>8</v>
      </c>
      <c r="B4" s="40">
        <v>181396</v>
      </c>
      <c r="C4" s="41"/>
      <c r="D4" s="40"/>
      <c r="E4" s="40"/>
    </row>
    <row r="5" spans="1:5" x14ac:dyDescent="0.2">
      <c r="A5" s="40" t="s">
        <v>13</v>
      </c>
      <c r="B5" s="40">
        <v>50752</v>
      </c>
      <c r="C5" s="41"/>
      <c r="D5" s="40"/>
      <c r="E5" s="40"/>
    </row>
    <row r="6" spans="1:5" x14ac:dyDescent="0.2">
      <c r="A6" s="40" t="s">
        <v>14</v>
      </c>
      <c r="B6" s="40">
        <v>39619</v>
      </c>
      <c r="C6" s="41"/>
      <c r="D6" s="40"/>
      <c r="E6" s="40"/>
    </row>
    <row r="7" spans="1:5" x14ac:dyDescent="0.2">
      <c r="A7" s="40" t="s">
        <v>15</v>
      </c>
      <c r="B7" s="40">
        <v>30870</v>
      </c>
      <c r="C7" s="41"/>
      <c r="D7" s="40"/>
      <c r="E7" s="40"/>
    </row>
    <row r="8" spans="1:5" x14ac:dyDescent="0.2">
      <c r="A8" s="40" t="s">
        <v>17</v>
      </c>
      <c r="B8" s="40">
        <v>30095</v>
      </c>
      <c r="C8" s="41"/>
      <c r="D8" s="40"/>
      <c r="E8" s="40"/>
    </row>
    <row r="9" spans="1:5" x14ac:dyDescent="0.2">
      <c r="A9" s="40" t="s">
        <v>18</v>
      </c>
      <c r="B9" s="40">
        <v>28330</v>
      </c>
      <c r="C9" s="41"/>
      <c r="D9" s="40"/>
      <c r="E9" s="40"/>
    </row>
    <row r="10" spans="1:5" x14ac:dyDescent="0.2">
      <c r="A10" s="40" t="s">
        <v>21</v>
      </c>
      <c r="B10" s="40">
        <v>21216</v>
      </c>
      <c r="C10" s="41"/>
      <c r="D10" s="40"/>
      <c r="E10" s="40"/>
    </row>
    <row r="11" spans="1:5" x14ac:dyDescent="0.2">
      <c r="A11" s="40" t="s">
        <v>22</v>
      </c>
      <c r="B11" s="40">
        <v>16883</v>
      </c>
      <c r="C11" s="41"/>
      <c r="D11" s="40"/>
      <c r="E11" s="40"/>
    </row>
    <row r="12" spans="1:5" x14ac:dyDescent="0.2">
      <c r="A12" s="40" t="s">
        <v>25</v>
      </c>
      <c r="B12" s="40">
        <v>9654</v>
      </c>
      <c r="C12" s="41"/>
      <c r="D12" s="40"/>
      <c r="E12" s="40"/>
    </row>
    <row r="13" spans="1:5" x14ac:dyDescent="0.2">
      <c r="A13" s="40" t="s">
        <v>26</v>
      </c>
      <c r="B13" s="40">
        <v>8746</v>
      </c>
      <c r="C13" s="41"/>
      <c r="D13" s="40"/>
      <c r="E13" s="40"/>
    </row>
    <row r="14" spans="1:5" x14ac:dyDescent="0.2">
      <c r="A14" s="40" t="s">
        <v>29</v>
      </c>
      <c r="B14" s="40">
        <v>5903</v>
      </c>
      <c r="C14" s="41"/>
      <c r="D14" s="40"/>
      <c r="E14" s="40"/>
    </row>
    <row r="15" spans="1:5" x14ac:dyDescent="0.2">
      <c r="A15" s="40" t="s">
        <v>31</v>
      </c>
      <c r="B15" s="40">
        <v>5824</v>
      </c>
      <c r="C15" s="41"/>
      <c r="D15" s="40"/>
      <c r="E15" s="40"/>
    </row>
    <row r="16" spans="1:5" x14ac:dyDescent="0.2">
      <c r="A16" s="40" t="s">
        <v>33</v>
      </c>
      <c r="B16" s="40">
        <v>5661</v>
      </c>
      <c r="C16" s="41"/>
      <c r="D16" s="40"/>
      <c r="E16" s="40"/>
    </row>
    <row r="17" spans="1:5" x14ac:dyDescent="0.2">
      <c r="A17" s="40" t="s">
        <v>34</v>
      </c>
      <c r="B17" s="40">
        <v>5319</v>
      </c>
      <c r="C17" s="41"/>
      <c r="D17" s="40"/>
      <c r="E17" s="40"/>
    </row>
    <row r="18" spans="1:5" x14ac:dyDescent="0.2">
      <c r="A18" s="40" t="s">
        <v>35</v>
      </c>
      <c r="B18" s="40">
        <v>5185</v>
      </c>
      <c r="C18" s="41"/>
      <c r="D18" s="40"/>
      <c r="E18" s="40"/>
    </row>
    <row r="19" spans="1:5" x14ac:dyDescent="0.2">
      <c r="A19" s="40" t="s">
        <v>40</v>
      </c>
      <c r="B19" s="40">
        <v>4749</v>
      </c>
      <c r="C19" s="41"/>
      <c r="D19" s="40"/>
      <c r="E19" s="40"/>
    </row>
    <row r="20" spans="1:5" x14ac:dyDescent="0.2">
      <c r="A20" s="40" t="s">
        <v>41</v>
      </c>
      <c r="B20" s="40">
        <v>4492</v>
      </c>
      <c r="C20" s="41"/>
      <c r="D20" s="40"/>
      <c r="E20" s="40"/>
    </row>
    <row r="21" spans="1:5" x14ac:dyDescent="0.2">
      <c r="A21" s="40" t="s">
        <v>44</v>
      </c>
      <c r="B21" s="40">
        <v>3970</v>
      </c>
      <c r="C21" s="41"/>
      <c r="D21" s="40"/>
      <c r="E21" s="40"/>
    </row>
    <row r="22" spans="1:5" x14ac:dyDescent="0.2">
      <c r="A22" s="40" t="s">
        <v>47</v>
      </c>
      <c r="B22" s="40">
        <v>3859</v>
      </c>
      <c r="C22" s="41"/>
      <c r="D22" s="40"/>
      <c r="E22" s="40"/>
    </row>
    <row r="23" spans="1:5" x14ac:dyDescent="0.2">
      <c r="A23" s="40" t="s">
        <v>49</v>
      </c>
      <c r="B23" s="40">
        <v>3599</v>
      </c>
      <c r="C23" s="41"/>
      <c r="D23" s="40"/>
      <c r="E23" s="40"/>
    </row>
    <row r="24" spans="1:5" x14ac:dyDescent="0.2">
      <c r="A24" s="40" t="s">
        <v>50</v>
      </c>
      <c r="B24" s="40">
        <v>3449</v>
      </c>
      <c r="C24" s="41"/>
      <c r="D24" s="40"/>
      <c r="E24" s="40"/>
    </row>
    <row r="25" spans="1:5" x14ac:dyDescent="0.2">
      <c r="A25" s="40" t="s">
        <v>51</v>
      </c>
      <c r="B25" s="40">
        <v>3400</v>
      </c>
      <c r="C25" s="41"/>
      <c r="D25" s="40"/>
      <c r="E25" s="40"/>
    </row>
    <row r="26" spans="1:5" x14ac:dyDescent="0.2">
      <c r="A26" s="40" t="s">
        <v>54</v>
      </c>
      <c r="B26" s="40">
        <v>3099</v>
      </c>
      <c r="C26" s="41"/>
      <c r="D26" s="40"/>
      <c r="E26" s="40"/>
    </row>
    <row r="27" spans="1:5" x14ac:dyDescent="0.2">
      <c r="A27" s="40" t="s">
        <v>56</v>
      </c>
      <c r="B27" s="40">
        <v>2942</v>
      </c>
      <c r="C27" s="41"/>
      <c r="D27" s="40"/>
      <c r="E27" s="40"/>
    </row>
    <row r="28" spans="1:5" x14ac:dyDescent="0.2">
      <c r="A28" s="40" t="s">
        <v>57</v>
      </c>
      <c r="B28" s="40">
        <v>2651</v>
      </c>
      <c r="C28" s="41"/>
      <c r="D28" s="40"/>
      <c r="E28" s="40"/>
    </row>
    <row r="29" spans="1:5" x14ac:dyDescent="0.2">
      <c r="A29" s="40" t="s">
        <v>58</v>
      </c>
      <c r="B29" s="40">
        <v>2516</v>
      </c>
      <c r="C29" s="41"/>
      <c r="D29" s="40"/>
      <c r="E29" s="40"/>
    </row>
    <row r="30" spans="1:5" x14ac:dyDescent="0.2">
      <c r="A30" s="40" t="s">
        <v>59</v>
      </c>
      <c r="B30" s="40">
        <v>2496</v>
      </c>
      <c r="C30" s="41"/>
      <c r="D30" s="40"/>
      <c r="E30" s="40"/>
    </row>
    <row r="31" spans="1:5" x14ac:dyDescent="0.2">
      <c r="A31" s="40" t="s">
        <v>60</v>
      </c>
      <c r="B31" s="40">
        <v>2458</v>
      </c>
      <c r="C31" s="41"/>
      <c r="D31" s="40"/>
      <c r="E31" s="40"/>
    </row>
    <row r="32" spans="1:5" x14ac:dyDescent="0.2">
      <c r="A32" s="40" t="s">
        <v>63</v>
      </c>
      <c r="B32" s="40">
        <v>2122</v>
      </c>
      <c r="C32" s="41"/>
      <c r="D32" s="40"/>
      <c r="E32" s="40"/>
    </row>
    <row r="33" spans="1:5" x14ac:dyDescent="0.2">
      <c r="A33" s="40" t="s">
        <v>65</v>
      </c>
      <c r="B33" s="40">
        <v>1818</v>
      </c>
      <c r="C33" s="41"/>
      <c r="D33" s="40"/>
      <c r="E33" s="40"/>
    </row>
    <row r="34" spans="1:5" x14ac:dyDescent="0.2">
      <c r="A34" s="40" t="s">
        <v>66</v>
      </c>
      <c r="B34" s="40">
        <v>1792</v>
      </c>
      <c r="C34" s="41"/>
      <c r="D34" s="40"/>
      <c r="E34" s="40"/>
    </row>
    <row r="35" spans="1:5" x14ac:dyDescent="0.2">
      <c r="A35" s="40" t="s">
        <v>72</v>
      </c>
      <c r="B35" s="40">
        <v>1546</v>
      </c>
      <c r="C35" s="41"/>
      <c r="D35" s="40"/>
      <c r="E35" s="40"/>
    </row>
    <row r="36" spans="1:5" x14ac:dyDescent="0.2">
      <c r="A36" s="40" t="s">
        <v>73</v>
      </c>
      <c r="B36" s="40">
        <v>1535</v>
      </c>
      <c r="C36" s="41"/>
      <c r="D36" s="40"/>
      <c r="E36" s="40"/>
    </row>
    <row r="37" spans="1:5" x14ac:dyDescent="0.2">
      <c r="A37" s="40" t="s">
        <v>74</v>
      </c>
      <c r="B37" s="40">
        <v>1508</v>
      </c>
      <c r="C37" s="41"/>
      <c r="D37" s="40"/>
      <c r="E37" s="40"/>
    </row>
    <row r="38" spans="1:5" x14ac:dyDescent="0.2">
      <c r="A38" s="40" t="s">
        <v>75</v>
      </c>
      <c r="B38" s="40">
        <v>1490</v>
      </c>
      <c r="C38" s="41"/>
      <c r="D38" s="40"/>
      <c r="E38" s="40"/>
    </row>
    <row r="39" spans="1:5" x14ac:dyDescent="0.2">
      <c r="A39" s="40" t="s">
        <v>77</v>
      </c>
      <c r="B39" s="40">
        <v>1316</v>
      </c>
      <c r="C39" s="41"/>
      <c r="D39" s="40"/>
      <c r="E39" s="40"/>
    </row>
    <row r="40" spans="1:5" x14ac:dyDescent="0.2">
      <c r="A40" s="40" t="s">
        <v>79</v>
      </c>
      <c r="B40" s="40">
        <v>1262</v>
      </c>
      <c r="C40" s="41"/>
      <c r="D40" s="40"/>
      <c r="E40" s="40"/>
    </row>
    <row r="41" spans="1:5" x14ac:dyDescent="0.2">
      <c r="A41" s="40" t="s">
        <v>80</v>
      </c>
      <c r="B41" s="40">
        <v>1262</v>
      </c>
      <c r="C41" s="41"/>
      <c r="D41" s="40"/>
      <c r="E41" s="40"/>
    </row>
    <row r="42" spans="1:5" x14ac:dyDescent="0.2">
      <c r="A42" s="40" t="s">
        <v>81</v>
      </c>
      <c r="B42" s="40">
        <v>1243</v>
      </c>
      <c r="C42" s="41"/>
      <c r="D42" s="40"/>
      <c r="E42" s="40"/>
    </row>
    <row r="43" spans="1:5" x14ac:dyDescent="0.2">
      <c r="A43" s="40" t="s">
        <v>82</v>
      </c>
      <c r="B43" s="40">
        <v>1235</v>
      </c>
      <c r="C43" s="41"/>
      <c r="D43" s="40"/>
      <c r="E43" s="40"/>
    </row>
    <row r="44" spans="1:5" x14ac:dyDescent="0.2">
      <c r="A44" s="40" t="s">
        <v>83</v>
      </c>
      <c r="B44" s="40">
        <v>1232</v>
      </c>
      <c r="C44" s="41"/>
      <c r="D44" s="40"/>
      <c r="E44" s="40"/>
    </row>
    <row r="45" spans="1:5" x14ac:dyDescent="0.2">
      <c r="A45" s="40" t="s">
        <v>87</v>
      </c>
      <c r="B45" s="40">
        <v>1070</v>
      </c>
      <c r="C45" s="41"/>
      <c r="D45" s="40"/>
      <c r="E45" s="40"/>
    </row>
    <row r="46" spans="1:5" x14ac:dyDescent="0.2">
      <c r="A46" s="40" t="s">
        <v>88</v>
      </c>
      <c r="B46" s="40">
        <v>1050</v>
      </c>
      <c r="C46" s="41"/>
      <c r="D46" s="40"/>
      <c r="E46" s="40"/>
    </row>
    <row r="47" spans="1:5" x14ac:dyDescent="0.2">
      <c r="A47" s="40" t="s">
        <v>90</v>
      </c>
      <c r="B47" s="40">
        <v>1028</v>
      </c>
      <c r="C47" s="41"/>
      <c r="D47" s="40"/>
      <c r="E47" s="40"/>
    </row>
    <row r="48" spans="1:5" x14ac:dyDescent="0.2">
      <c r="A48" s="40" t="s">
        <v>92</v>
      </c>
      <c r="B48" s="40">
        <v>1023</v>
      </c>
      <c r="C48" s="41"/>
      <c r="D48" s="40"/>
      <c r="E48" s="40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DB9296-241B-CF44-A809-3FD02832F6A0}">
  <dimension ref="A2:V29"/>
  <sheetViews>
    <sheetView tabSelected="1" topLeftCell="A3" zoomScale="125" workbookViewId="0">
      <selection activeCell="L19" sqref="L19"/>
    </sheetView>
  </sheetViews>
  <sheetFormatPr baseColWidth="10" defaultRowHeight="16" x14ac:dyDescent="0.2"/>
  <cols>
    <col min="12" max="12" width="11.6640625" customWidth="1"/>
    <col min="14" max="14" width="10.83203125" customWidth="1"/>
  </cols>
  <sheetData>
    <row r="2" spans="1:22" ht="44" customHeight="1" x14ac:dyDescent="0.2">
      <c r="A2" s="47" t="s">
        <v>0</v>
      </c>
      <c r="B2" s="49" t="s">
        <v>96</v>
      </c>
      <c r="C2" s="51" t="s">
        <v>97</v>
      </c>
      <c r="D2" s="52"/>
      <c r="E2" s="52"/>
      <c r="F2" s="53"/>
      <c r="G2" s="54" t="s">
        <v>98</v>
      </c>
      <c r="H2" s="54"/>
      <c r="I2" s="54"/>
      <c r="J2" s="55"/>
      <c r="K2" s="56" t="s">
        <v>99</v>
      </c>
      <c r="L2" s="57"/>
      <c r="M2" s="57"/>
      <c r="N2" s="58"/>
      <c r="O2" s="44" t="s">
        <v>7</v>
      </c>
      <c r="P2" s="42" t="s">
        <v>6</v>
      </c>
    </row>
    <row r="3" spans="1:22" ht="54" customHeight="1" x14ac:dyDescent="0.2">
      <c r="A3" s="48"/>
      <c r="B3" s="50"/>
      <c r="C3" s="17" t="s">
        <v>2</v>
      </c>
      <c r="D3" s="18" t="s">
        <v>3</v>
      </c>
      <c r="E3" s="18" t="s">
        <v>4</v>
      </c>
      <c r="F3" s="19" t="s">
        <v>5</v>
      </c>
      <c r="G3" s="18" t="s">
        <v>2</v>
      </c>
      <c r="H3" s="18" t="s">
        <v>3</v>
      </c>
      <c r="I3" s="18" t="s">
        <v>4</v>
      </c>
      <c r="J3" s="19" t="s">
        <v>5</v>
      </c>
      <c r="K3" s="17" t="s">
        <v>2</v>
      </c>
      <c r="L3" s="18" t="s">
        <v>3</v>
      </c>
      <c r="M3" s="18" t="s">
        <v>4</v>
      </c>
      <c r="N3" s="19" t="s">
        <v>5</v>
      </c>
      <c r="O3" s="45"/>
      <c r="P3" s="43"/>
    </row>
    <row r="4" spans="1:22" x14ac:dyDescent="0.2">
      <c r="A4" t="s">
        <v>10</v>
      </c>
      <c r="B4">
        <v>70292</v>
      </c>
      <c r="C4" s="32">
        <v>1.7599999999999999E-14</v>
      </c>
      <c r="D4" s="2" t="s">
        <v>9</v>
      </c>
      <c r="E4" s="2" t="s">
        <v>95</v>
      </c>
      <c r="F4" s="4" t="s">
        <v>9</v>
      </c>
      <c r="G4" s="13">
        <v>9.859999999999999E-4</v>
      </c>
      <c r="H4" s="29">
        <v>1E-13</v>
      </c>
      <c r="I4" s="7" t="s">
        <v>95</v>
      </c>
      <c r="J4" s="29" t="s">
        <v>4081</v>
      </c>
      <c r="K4" s="36" t="s">
        <v>95</v>
      </c>
      <c r="L4" s="37" t="s">
        <v>9</v>
      </c>
      <c r="M4" s="37">
        <v>1.38E-12</v>
      </c>
      <c r="N4" s="11">
        <v>9.9999999999999997E-48</v>
      </c>
      <c r="O4" s="33" t="s">
        <v>363</v>
      </c>
      <c r="P4" s="33" t="s">
        <v>10</v>
      </c>
    </row>
    <row r="5" spans="1:22" x14ac:dyDescent="0.2">
      <c r="A5" t="s">
        <v>11</v>
      </c>
      <c r="B5">
        <v>64652</v>
      </c>
      <c r="C5" s="10" t="s">
        <v>9</v>
      </c>
      <c r="D5" s="11" t="s">
        <v>95</v>
      </c>
      <c r="E5" s="11">
        <v>1.6E-34</v>
      </c>
      <c r="F5" s="28">
        <v>1.0000000000000001E-5</v>
      </c>
      <c r="G5" s="2" t="s">
        <v>95</v>
      </c>
      <c r="H5" s="11" t="s">
        <v>95</v>
      </c>
      <c r="I5" s="2" t="s">
        <v>95</v>
      </c>
      <c r="J5" s="29">
        <v>1E-22</v>
      </c>
      <c r="K5" s="9" t="s">
        <v>95</v>
      </c>
      <c r="L5" s="11" t="s">
        <v>95</v>
      </c>
      <c r="M5" s="11" t="s">
        <v>95</v>
      </c>
      <c r="N5" s="11" t="s">
        <v>95</v>
      </c>
      <c r="O5" s="34" t="s">
        <v>388</v>
      </c>
      <c r="P5" s="34" t="s">
        <v>12</v>
      </c>
      <c r="R5" s="1"/>
      <c r="T5" s="1"/>
    </row>
    <row r="6" spans="1:22" x14ac:dyDescent="0.2">
      <c r="A6" t="s">
        <v>16</v>
      </c>
      <c r="B6">
        <v>30622</v>
      </c>
      <c r="C6" s="9">
        <v>4.4400000000000002E-10</v>
      </c>
      <c r="D6" s="29">
        <v>9.9999999999999997E-65</v>
      </c>
      <c r="E6" s="2" t="s">
        <v>95</v>
      </c>
      <c r="F6" s="28">
        <v>9.9999999999999998E-86</v>
      </c>
      <c r="G6" s="11">
        <v>2.23E-5</v>
      </c>
      <c r="H6" s="29">
        <v>1E-70</v>
      </c>
      <c r="I6" s="2" t="s">
        <v>95</v>
      </c>
      <c r="J6" s="29">
        <v>1.0000000000000001E-239</v>
      </c>
      <c r="K6" s="9">
        <v>1.2099999999999999E-221</v>
      </c>
      <c r="L6" s="11">
        <v>1.0000000000000001E-5</v>
      </c>
      <c r="M6" s="11">
        <v>7.5799999999999997E-10</v>
      </c>
      <c r="N6" s="11">
        <v>9.9999999999999995E-58</v>
      </c>
      <c r="O6" s="34" t="s">
        <v>363</v>
      </c>
      <c r="P6" s="34" t="s">
        <v>16</v>
      </c>
      <c r="R6" s="1"/>
      <c r="T6" s="1"/>
      <c r="U6" s="1"/>
      <c r="V6" s="1"/>
    </row>
    <row r="7" spans="1:22" x14ac:dyDescent="0.2">
      <c r="A7" t="s">
        <v>24</v>
      </c>
      <c r="B7">
        <v>10410</v>
      </c>
      <c r="C7" s="10" t="s">
        <v>95</v>
      </c>
      <c r="D7" s="29">
        <v>9.9999999999999993E-40</v>
      </c>
      <c r="E7" s="2" t="s">
        <v>95</v>
      </c>
      <c r="F7" s="27">
        <v>1.0000000000000001E-68</v>
      </c>
      <c r="G7" s="2" t="s">
        <v>95</v>
      </c>
      <c r="H7" s="29" t="s">
        <v>4079</v>
      </c>
      <c r="I7" s="2" t="s">
        <v>95</v>
      </c>
      <c r="J7" s="13">
        <v>9.9999999999999994E-37</v>
      </c>
      <c r="K7" s="9">
        <v>3.3199999999999999E-32</v>
      </c>
      <c r="L7" s="11" t="s">
        <v>9</v>
      </c>
      <c r="M7" s="11">
        <v>5.9999999999999998E-38</v>
      </c>
      <c r="N7" s="11" t="s">
        <v>9</v>
      </c>
      <c r="O7" s="34" t="s">
        <v>363</v>
      </c>
      <c r="P7" s="34" t="s">
        <v>24</v>
      </c>
      <c r="R7" s="1"/>
      <c r="T7" s="1"/>
      <c r="V7" s="1"/>
    </row>
    <row r="8" spans="1:22" x14ac:dyDescent="0.2">
      <c r="A8" t="s">
        <v>27</v>
      </c>
      <c r="B8">
        <v>7005</v>
      </c>
      <c r="C8" s="10" t="s">
        <v>95</v>
      </c>
      <c r="D8" s="11" t="s">
        <v>95</v>
      </c>
      <c r="E8" s="2" t="s">
        <v>95</v>
      </c>
      <c r="F8" s="12">
        <v>1E-4</v>
      </c>
      <c r="G8" s="2" t="s">
        <v>95</v>
      </c>
      <c r="H8" s="29">
        <v>9.9999999999999997E-49</v>
      </c>
      <c r="I8" s="11" t="s">
        <v>95</v>
      </c>
      <c r="J8" s="29">
        <v>1E-99</v>
      </c>
      <c r="K8" s="9" t="s">
        <v>95</v>
      </c>
      <c r="L8" s="11">
        <v>1E-59</v>
      </c>
      <c r="M8" s="11" t="s">
        <v>95</v>
      </c>
      <c r="N8" s="11">
        <v>1E-4</v>
      </c>
      <c r="O8" s="34" t="s">
        <v>363</v>
      </c>
      <c r="P8" s="34" t="s">
        <v>27</v>
      </c>
    </row>
    <row r="9" spans="1:22" x14ac:dyDescent="0.2">
      <c r="A9" t="s">
        <v>28</v>
      </c>
      <c r="B9">
        <v>6476</v>
      </c>
      <c r="C9" s="10" t="s">
        <v>95</v>
      </c>
      <c r="D9" s="11" t="s">
        <v>95</v>
      </c>
      <c r="E9" s="2" t="s">
        <v>95</v>
      </c>
      <c r="F9" s="12">
        <v>0.01</v>
      </c>
      <c r="G9" s="2" t="s">
        <v>95</v>
      </c>
      <c r="H9" s="29">
        <v>9.9999999999999995E-7</v>
      </c>
      <c r="I9" s="11" t="s">
        <v>95</v>
      </c>
      <c r="J9" s="29">
        <v>9.9999999999999997E-29</v>
      </c>
      <c r="K9" s="9" t="s">
        <v>95</v>
      </c>
      <c r="L9" s="11" t="s">
        <v>95</v>
      </c>
      <c r="M9" s="11" t="s">
        <v>95</v>
      </c>
      <c r="N9" s="11" t="s">
        <v>95</v>
      </c>
      <c r="O9" s="34" t="s">
        <v>120</v>
      </c>
      <c r="P9" s="34" t="s">
        <v>28</v>
      </c>
    </row>
    <row r="10" spans="1:22" x14ac:dyDescent="0.2">
      <c r="A10" t="s">
        <v>30</v>
      </c>
      <c r="B10">
        <v>5837</v>
      </c>
      <c r="C10" s="10" t="s">
        <v>95</v>
      </c>
      <c r="D10" s="11" t="s">
        <v>95</v>
      </c>
      <c r="E10" s="2" t="s">
        <v>95</v>
      </c>
      <c r="F10" s="12" t="s">
        <v>95</v>
      </c>
      <c r="G10" s="2" t="s">
        <v>95</v>
      </c>
      <c r="H10" s="29">
        <v>1.0000000000000001E-5</v>
      </c>
      <c r="I10" s="2" t="s">
        <v>95</v>
      </c>
      <c r="J10" s="2" t="s">
        <v>95</v>
      </c>
      <c r="K10" s="9" t="s">
        <v>95</v>
      </c>
      <c r="L10" s="11" t="s">
        <v>95</v>
      </c>
      <c r="M10" s="11" t="s">
        <v>95</v>
      </c>
      <c r="N10" s="11" t="s">
        <v>95</v>
      </c>
      <c r="O10" s="34" t="s">
        <v>120</v>
      </c>
      <c r="P10" s="34" t="s">
        <v>30</v>
      </c>
    </row>
    <row r="11" spans="1:22" x14ac:dyDescent="0.2">
      <c r="A11" t="s">
        <v>36</v>
      </c>
      <c r="B11">
        <v>5138</v>
      </c>
      <c r="C11" s="10" t="s">
        <v>95</v>
      </c>
      <c r="D11" s="11" t="s">
        <v>9</v>
      </c>
      <c r="E11" s="2" t="s">
        <v>95</v>
      </c>
      <c r="F11" s="12" t="s">
        <v>9</v>
      </c>
      <c r="G11" s="2" t="s">
        <v>95</v>
      </c>
      <c r="H11" s="2" t="s">
        <v>9</v>
      </c>
      <c r="I11" s="2" t="s">
        <v>95</v>
      </c>
      <c r="J11" s="11" t="s">
        <v>9</v>
      </c>
      <c r="K11" s="9" t="s">
        <v>95</v>
      </c>
      <c r="L11" s="11" t="s">
        <v>9</v>
      </c>
      <c r="M11" s="11" t="s">
        <v>95</v>
      </c>
      <c r="N11" s="11" t="s">
        <v>9</v>
      </c>
      <c r="O11" s="34" t="s">
        <v>363</v>
      </c>
      <c r="P11" s="34" t="e">
        <v>#N/A</v>
      </c>
    </row>
    <row r="12" spans="1:22" x14ac:dyDescent="0.2">
      <c r="A12" t="s">
        <v>39</v>
      </c>
      <c r="B12">
        <v>4760</v>
      </c>
      <c r="C12" s="10" t="s">
        <v>95</v>
      </c>
      <c r="D12" s="2" t="s">
        <v>9</v>
      </c>
      <c r="E12" s="2" t="s">
        <v>95</v>
      </c>
      <c r="F12" s="4" t="s">
        <v>9</v>
      </c>
      <c r="G12" s="2" t="s">
        <v>95</v>
      </c>
      <c r="H12" s="2" t="s">
        <v>9</v>
      </c>
      <c r="I12" s="2" t="s">
        <v>95</v>
      </c>
      <c r="J12" s="2" t="s">
        <v>9</v>
      </c>
      <c r="K12" s="9" t="s">
        <v>95</v>
      </c>
      <c r="L12" s="11" t="s">
        <v>9</v>
      </c>
      <c r="M12" s="11" t="s">
        <v>95</v>
      </c>
      <c r="N12" s="11" t="s">
        <v>9</v>
      </c>
      <c r="O12" s="34" t="s">
        <v>120</v>
      </c>
      <c r="P12" s="34" t="e">
        <v>#N/A</v>
      </c>
    </row>
    <row r="13" spans="1:22" x14ac:dyDescent="0.2">
      <c r="A13" t="s">
        <v>42</v>
      </c>
      <c r="B13">
        <v>4391</v>
      </c>
      <c r="C13" s="10" t="s">
        <v>95</v>
      </c>
      <c r="D13" s="2" t="s">
        <v>9</v>
      </c>
      <c r="E13" s="2" t="s">
        <v>95</v>
      </c>
      <c r="F13" s="4" t="s">
        <v>9</v>
      </c>
      <c r="G13" s="2" t="s">
        <v>95</v>
      </c>
      <c r="H13" s="2" t="s">
        <v>9</v>
      </c>
      <c r="I13" s="2" t="s">
        <v>95</v>
      </c>
      <c r="J13" s="2" t="s">
        <v>9</v>
      </c>
      <c r="K13" s="9" t="s">
        <v>95</v>
      </c>
      <c r="L13" s="11" t="s">
        <v>9</v>
      </c>
      <c r="M13" s="11" t="s">
        <v>95</v>
      </c>
      <c r="N13" s="11" t="s">
        <v>9</v>
      </c>
      <c r="O13" s="34" t="s">
        <v>120</v>
      </c>
      <c r="P13" s="34" t="e">
        <v>#N/A</v>
      </c>
    </row>
    <row r="14" spans="1:22" x14ac:dyDescent="0.2">
      <c r="A14" t="s">
        <v>45</v>
      </c>
      <c r="B14">
        <v>3968</v>
      </c>
      <c r="C14" s="9">
        <v>1.9300000000000001E-12</v>
      </c>
      <c r="D14" s="11">
        <v>1E-3</v>
      </c>
      <c r="E14" s="2" t="s">
        <v>95</v>
      </c>
      <c r="F14" s="12">
        <v>1E-8</v>
      </c>
      <c r="G14" s="2" t="s">
        <v>95</v>
      </c>
      <c r="H14" s="29">
        <v>9.9999999999999999E-160</v>
      </c>
      <c r="I14" s="2" t="s">
        <v>95</v>
      </c>
      <c r="J14" s="29" t="s">
        <v>4080</v>
      </c>
      <c r="K14" s="9" t="s">
        <v>95</v>
      </c>
      <c r="L14" s="11">
        <v>1E-125</v>
      </c>
      <c r="M14" s="11" t="s">
        <v>95</v>
      </c>
      <c r="N14" s="11">
        <v>1E-22</v>
      </c>
      <c r="O14" s="34" t="s">
        <v>363</v>
      </c>
      <c r="P14" s="34" t="s">
        <v>46</v>
      </c>
      <c r="R14" s="1"/>
      <c r="T14" s="1"/>
    </row>
    <row r="15" spans="1:22" x14ac:dyDescent="0.2">
      <c r="A15" t="s">
        <v>48</v>
      </c>
      <c r="B15">
        <v>3745</v>
      </c>
      <c r="C15" s="10" t="s">
        <v>95</v>
      </c>
      <c r="D15" s="2" t="s">
        <v>9</v>
      </c>
      <c r="E15" s="2" t="s">
        <v>95</v>
      </c>
      <c r="F15" s="4" t="s">
        <v>9</v>
      </c>
      <c r="G15" s="2" t="s">
        <v>95</v>
      </c>
      <c r="H15" s="11" t="s">
        <v>9</v>
      </c>
      <c r="I15" s="2" t="s">
        <v>95</v>
      </c>
      <c r="J15" s="2" t="s">
        <v>9</v>
      </c>
      <c r="K15" s="9" t="s">
        <v>95</v>
      </c>
      <c r="L15" s="11" t="s">
        <v>9</v>
      </c>
      <c r="M15" s="11" t="s">
        <v>95</v>
      </c>
      <c r="N15" s="11" t="s">
        <v>9</v>
      </c>
      <c r="O15" s="34" t="s">
        <v>120</v>
      </c>
      <c r="P15" s="34" t="e">
        <v>#N/A</v>
      </c>
    </row>
    <row r="16" spans="1:22" x14ac:dyDescent="0.2">
      <c r="A16" t="s">
        <v>52</v>
      </c>
      <c r="B16">
        <v>3331</v>
      </c>
      <c r="C16" s="10" t="s">
        <v>95</v>
      </c>
      <c r="D16" s="11">
        <v>0.1</v>
      </c>
      <c r="E16" s="2" t="s">
        <v>95</v>
      </c>
      <c r="F16" s="12" t="s">
        <v>95</v>
      </c>
      <c r="G16" s="2" t="s">
        <v>95</v>
      </c>
      <c r="H16" s="11">
        <v>0.1</v>
      </c>
      <c r="I16" s="2" t="s">
        <v>95</v>
      </c>
      <c r="J16" s="60">
        <v>0.1</v>
      </c>
      <c r="K16" s="9" t="s">
        <v>95</v>
      </c>
      <c r="L16" s="11" t="s">
        <v>95</v>
      </c>
      <c r="M16" s="11" t="s">
        <v>95</v>
      </c>
      <c r="N16" s="11">
        <v>0.1</v>
      </c>
      <c r="O16" s="34" t="s">
        <v>120</v>
      </c>
      <c r="P16" s="34" t="s">
        <v>53</v>
      </c>
      <c r="R16" s="1"/>
      <c r="T16" s="1"/>
    </row>
    <row r="17" spans="1:22" x14ac:dyDescent="0.2">
      <c r="A17" t="s">
        <v>61</v>
      </c>
      <c r="B17">
        <v>2303</v>
      </c>
      <c r="C17" s="10" t="s">
        <v>95</v>
      </c>
      <c r="D17" s="2" t="s">
        <v>9</v>
      </c>
      <c r="E17" s="2" t="s">
        <v>95</v>
      </c>
      <c r="F17" s="4" t="s">
        <v>9</v>
      </c>
      <c r="G17" s="2" t="s">
        <v>95</v>
      </c>
      <c r="H17" s="11" t="s">
        <v>9</v>
      </c>
      <c r="I17" s="2" t="s">
        <v>95</v>
      </c>
      <c r="J17" s="61" t="s">
        <v>9</v>
      </c>
      <c r="K17" s="9" t="s">
        <v>95</v>
      </c>
      <c r="L17" s="11" t="s">
        <v>9</v>
      </c>
      <c r="M17" s="11" t="s">
        <v>95</v>
      </c>
      <c r="N17" s="11" t="s">
        <v>9</v>
      </c>
      <c r="O17" s="34" t="s">
        <v>363</v>
      </c>
      <c r="P17" s="34" t="e">
        <v>#N/A</v>
      </c>
    </row>
    <row r="18" spans="1:22" x14ac:dyDescent="0.2">
      <c r="A18" t="s">
        <v>62</v>
      </c>
      <c r="B18">
        <v>2123</v>
      </c>
      <c r="C18" s="10" t="s">
        <v>95</v>
      </c>
      <c r="D18" s="2" t="s">
        <v>9</v>
      </c>
      <c r="E18" s="2" t="s">
        <v>95</v>
      </c>
      <c r="F18" s="4" t="s">
        <v>9</v>
      </c>
      <c r="G18" s="2" t="s">
        <v>95</v>
      </c>
      <c r="H18" s="11" t="s">
        <v>9</v>
      </c>
      <c r="I18" s="2" t="s">
        <v>95</v>
      </c>
      <c r="J18" s="61" t="s">
        <v>9</v>
      </c>
      <c r="K18" s="9" t="s">
        <v>95</v>
      </c>
      <c r="L18" s="11" t="s">
        <v>9</v>
      </c>
      <c r="M18" s="11" t="s">
        <v>95</v>
      </c>
      <c r="N18" s="11" t="s">
        <v>9</v>
      </c>
      <c r="O18" s="34" t="s">
        <v>363</v>
      </c>
      <c r="P18" s="34" t="e">
        <v>#N/A</v>
      </c>
    </row>
    <row r="19" spans="1:22" x14ac:dyDescent="0.2">
      <c r="A19" t="s">
        <v>64</v>
      </c>
      <c r="B19">
        <v>1980</v>
      </c>
      <c r="C19" s="10" t="s">
        <v>95</v>
      </c>
      <c r="D19" s="2" t="s">
        <v>9</v>
      </c>
      <c r="E19" s="2" t="s">
        <v>95</v>
      </c>
      <c r="F19" s="4" t="s">
        <v>9</v>
      </c>
      <c r="G19" s="2" t="s">
        <v>95</v>
      </c>
      <c r="H19" s="11" t="s">
        <v>9</v>
      </c>
      <c r="I19" s="2" t="s">
        <v>95</v>
      </c>
      <c r="J19" s="61" t="s">
        <v>9</v>
      </c>
      <c r="K19" s="9" t="s">
        <v>95</v>
      </c>
      <c r="L19" s="11" t="s">
        <v>9</v>
      </c>
      <c r="M19" s="11" t="s">
        <v>95</v>
      </c>
      <c r="N19" s="11" t="s">
        <v>9</v>
      </c>
      <c r="O19" s="34" t="s">
        <v>120</v>
      </c>
      <c r="P19" s="34" t="e">
        <v>#N/A</v>
      </c>
    </row>
    <row r="20" spans="1:22" x14ac:dyDescent="0.2">
      <c r="A20" t="s">
        <v>67</v>
      </c>
      <c r="B20">
        <v>1764</v>
      </c>
      <c r="C20" s="10" t="s">
        <v>95</v>
      </c>
      <c r="D20" s="11" t="s">
        <v>95</v>
      </c>
      <c r="E20" s="2" t="s">
        <v>95</v>
      </c>
      <c r="F20" s="4" t="s">
        <v>9</v>
      </c>
      <c r="G20" s="29">
        <v>4.3200000000000001E-3</v>
      </c>
      <c r="H20" s="11" t="s">
        <v>95</v>
      </c>
      <c r="I20" s="2" t="s">
        <v>95</v>
      </c>
      <c r="J20" s="60">
        <v>0.01</v>
      </c>
      <c r="K20" s="9" t="s">
        <v>95</v>
      </c>
      <c r="L20" s="11" t="s">
        <v>95</v>
      </c>
      <c r="M20" s="11" t="s">
        <v>95</v>
      </c>
      <c r="N20" s="11" t="s">
        <v>95</v>
      </c>
      <c r="O20" s="34" t="s">
        <v>363</v>
      </c>
      <c r="P20" s="34" t="s">
        <v>68</v>
      </c>
      <c r="R20" s="1"/>
      <c r="T20" s="1"/>
    </row>
    <row r="21" spans="1:22" x14ac:dyDescent="0.2">
      <c r="A21" t="s">
        <v>70</v>
      </c>
      <c r="B21">
        <v>1736</v>
      </c>
      <c r="C21" s="10" t="s">
        <v>95</v>
      </c>
      <c r="D21" s="11" t="s">
        <v>95</v>
      </c>
      <c r="E21" s="2" t="s">
        <v>95</v>
      </c>
      <c r="F21" s="12" t="s">
        <v>95</v>
      </c>
      <c r="G21" s="2" t="s">
        <v>95</v>
      </c>
      <c r="H21" s="11" t="s">
        <v>95</v>
      </c>
      <c r="I21" s="2" t="s">
        <v>95</v>
      </c>
      <c r="J21" s="61" t="s">
        <v>95</v>
      </c>
      <c r="K21" s="9" t="s">
        <v>95</v>
      </c>
      <c r="L21" s="11" t="s">
        <v>95</v>
      </c>
      <c r="M21" s="11" t="s">
        <v>95</v>
      </c>
      <c r="N21" s="11" t="s">
        <v>95</v>
      </c>
      <c r="O21" s="34" t="s">
        <v>363</v>
      </c>
      <c r="P21" s="34" t="s">
        <v>70</v>
      </c>
    </row>
    <row r="22" spans="1:22" x14ac:dyDescent="0.2">
      <c r="A22" t="s">
        <v>71</v>
      </c>
      <c r="B22">
        <v>1637</v>
      </c>
      <c r="C22" s="10" t="s">
        <v>95</v>
      </c>
      <c r="D22" s="2" t="s">
        <v>9</v>
      </c>
      <c r="E22" s="2" t="s">
        <v>95</v>
      </c>
      <c r="F22" s="4" t="s">
        <v>9</v>
      </c>
      <c r="G22" s="2" t="s">
        <v>95</v>
      </c>
      <c r="H22" s="11" t="s">
        <v>9</v>
      </c>
      <c r="I22" s="2" t="s">
        <v>95</v>
      </c>
      <c r="J22" s="61" t="s">
        <v>9</v>
      </c>
      <c r="K22" s="9" t="s">
        <v>95</v>
      </c>
      <c r="L22" s="11" t="s">
        <v>9</v>
      </c>
      <c r="M22" s="11" t="s">
        <v>95</v>
      </c>
      <c r="N22" s="11" t="s">
        <v>9</v>
      </c>
      <c r="O22" s="34" t="s">
        <v>388</v>
      </c>
      <c r="P22" s="34" t="e">
        <v>#N/A</v>
      </c>
    </row>
    <row r="23" spans="1:22" x14ac:dyDescent="0.2">
      <c r="A23" t="s">
        <v>76</v>
      </c>
      <c r="B23">
        <v>1416</v>
      </c>
      <c r="C23" s="10" t="s">
        <v>95</v>
      </c>
      <c r="D23" s="29">
        <v>1E-22</v>
      </c>
      <c r="E23" s="2" t="s">
        <v>95</v>
      </c>
      <c r="F23" s="12">
        <v>1.0000000000000001E-18</v>
      </c>
      <c r="G23" s="2" t="s">
        <v>95</v>
      </c>
      <c r="H23" s="29">
        <v>9.9999999999999992E-25</v>
      </c>
      <c r="I23" s="2" t="s">
        <v>95</v>
      </c>
      <c r="J23" s="60">
        <v>1E-107</v>
      </c>
      <c r="K23" s="9">
        <v>7.8600000000000003E-305</v>
      </c>
      <c r="L23" s="11" t="s">
        <v>95</v>
      </c>
      <c r="M23" s="11" t="s">
        <v>95</v>
      </c>
      <c r="N23" s="11">
        <v>9.9999999999999996E-70</v>
      </c>
      <c r="O23" s="34" t="s">
        <v>363</v>
      </c>
      <c r="P23" s="34" t="s">
        <v>76</v>
      </c>
      <c r="R23" s="1"/>
      <c r="T23" s="1"/>
      <c r="U23" s="1"/>
      <c r="V23" s="1"/>
    </row>
    <row r="24" spans="1:22" x14ac:dyDescent="0.2">
      <c r="A24" t="s">
        <v>85</v>
      </c>
      <c r="B24">
        <v>1211</v>
      </c>
      <c r="C24" s="10" t="s">
        <v>95</v>
      </c>
      <c r="D24" s="2" t="s">
        <v>9</v>
      </c>
      <c r="E24" s="2" t="s">
        <v>95</v>
      </c>
      <c r="F24" s="4" t="s">
        <v>9</v>
      </c>
      <c r="G24" s="2" t="s">
        <v>95</v>
      </c>
      <c r="H24" s="11" t="s">
        <v>9</v>
      </c>
      <c r="I24" s="2" t="s">
        <v>95</v>
      </c>
      <c r="J24" s="61" t="s">
        <v>9</v>
      </c>
      <c r="K24" s="9" t="s">
        <v>95</v>
      </c>
      <c r="L24" s="11" t="s">
        <v>9</v>
      </c>
      <c r="M24" s="11" t="s">
        <v>95</v>
      </c>
      <c r="N24" s="11" t="s">
        <v>9</v>
      </c>
      <c r="O24" s="34" t="s">
        <v>388</v>
      </c>
      <c r="P24" s="34" t="e">
        <v>#N/A</v>
      </c>
    </row>
    <row r="25" spans="1:22" x14ac:dyDescent="0.2">
      <c r="A25" t="s">
        <v>86</v>
      </c>
      <c r="B25">
        <v>1202</v>
      </c>
      <c r="C25" s="10" t="s">
        <v>95</v>
      </c>
      <c r="D25" s="11" t="s">
        <v>95</v>
      </c>
      <c r="E25" s="2" t="s">
        <v>95</v>
      </c>
      <c r="F25" s="12" t="s">
        <v>95</v>
      </c>
      <c r="G25" s="2" t="s">
        <v>95</v>
      </c>
      <c r="H25" s="11" t="s">
        <v>95</v>
      </c>
      <c r="I25" s="2" t="s">
        <v>95</v>
      </c>
      <c r="J25" s="60">
        <v>1E-25</v>
      </c>
      <c r="K25" s="9" t="s">
        <v>95</v>
      </c>
      <c r="L25" s="11" t="s">
        <v>95</v>
      </c>
      <c r="M25" s="11" t="s">
        <v>95</v>
      </c>
      <c r="N25" s="11" t="s">
        <v>95</v>
      </c>
      <c r="O25" s="34" t="s">
        <v>363</v>
      </c>
      <c r="P25" s="34" t="s">
        <v>86</v>
      </c>
      <c r="R25" s="1"/>
      <c r="T25" s="1"/>
    </row>
    <row r="26" spans="1:22" x14ac:dyDescent="0.2">
      <c r="A26" t="s">
        <v>89</v>
      </c>
      <c r="B26">
        <v>1046</v>
      </c>
      <c r="C26" s="10" t="s">
        <v>95</v>
      </c>
      <c r="D26" s="2" t="s">
        <v>9</v>
      </c>
      <c r="E26" s="2" t="s">
        <v>95</v>
      </c>
      <c r="F26" s="4" t="s">
        <v>9</v>
      </c>
      <c r="G26" s="2" t="s">
        <v>95</v>
      </c>
      <c r="H26" s="11" t="s">
        <v>9</v>
      </c>
      <c r="I26" s="2" t="s">
        <v>95</v>
      </c>
      <c r="J26" s="2" t="s">
        <v>9</v>
      </c>
      <c r="K26" s="9" t="s">
        <v>95</v>
      </c>
      <c r="L26" s="11" t="s">
        <v>9</v>
      </c>
      <c r="M26" s="11">
        <v>7.8000000000000005E-15</v>
      </c>
      <c r="N26" s="11" t="s">
        <v>9</v>
      </c>
      <c r="O26" s="34" t="s">
        <v>388</v>
      </c>
      <c r="P26" s="34" t="e">
        <v>#N/A</v>
      </c>
    </row>
    <row r="27" spans="1:22" x14ac:dyDescent="0.2">
      <c r="A27" t="s">
        <v>91</v>
      </c>
      <c r="B27">
        <v>1027</v>
      </c>
      <c r="C27" s="14" t="s">
        <v>95</v>
      </c>
      <c r="D27" s="15" t="s">
        <v>95</v>
      </c>
      <c r="E27" s="5" t="s">
        <v>95</v>
      </c>
      <c r="F27" s="16" t="s">
        <v>95</v>
      </c>
      <c r="G27" s="14" t="s">
        <v>95</v>
      </c>
      <c r="H27" s="15" t="s">
        <v>95</v>
      </c>
      <c r="I27" s="5" t="s">
        <v>95</v>
      </c>
      <c r="J27" s="6" t="s">
        <v>95</v>
      </c>
      <c r="K27" s="38" t="s">
        <v>95</v>
      </c>
      <c r="L27" s="15">
        <v>9.9999999999999995E-8</v>
      </c>
      <c r="M27" s="15" t="s">
        <v>95</v>
      </c>
      <c r="N27" s="15" t="s">
        <v>95</v>
      </c>
      <c r="O27" s="35" t="s">
        <v>363</v>
      </c>
      <c r="P27" s="35" t="s">
        <v>91</v>
      </c>
    </row>
    <row r="29" spans="1:22" x14ac:dyDescent="0.2">
      <c r="A29" s="46" t="s">
        <v>4078</v>
      </c>
      <c r="B29" s="46"/>
      <c r="C29" s="46"/>
      <c r="D29" s="46"/>
      <c r="E29" s="46"/>
      <c r="F29" s="46"/>
      <c r="G29" s="46"/>
      <c r="H29" s="46"/>
      <c r="I29" s="46"/>
      <c r="J29" s="46"/>
    </row>
  </sheetData>
  <autoFilter ref="A2:P27" xr:uid="{50DB9296-241B-CF44-A809-3FD02832F6A0}">
    <filterColumn colId="2" showButton="0"/>
    <filterColumn colId="3" showButton="0"/>
    <filterColumn colId="4" showButton="0"/>
    <filterColumn colId="6" showButton="0"/>
    <filterColumn colId="7" showButton="0"/>
    <filterColumn colId="8" showButton="0"/>
    <filterColumn colId="10" showButton="0"/>
    <filterColumn colId="11" showButton="0"/>
    <filterColumn colId="12" showButton="0"/>
    <sortState xmlns:xlrd2="http://schemas.microsoft.com/office/spreadsheetml/2017/richdata2" ref="A5:P27">
      <sortCondition descending="1" ref="B2:B27"/>
    </sortState>
  </autoFilter>
  <sortState xmlns:xlrd2="http://schemas.microsoft.com/office/spreadsheetml/2017/richdata2" ref="A2:P27">
    <sortCondition descending="1" ref="B16"/>
  </sortState>
  <mergeCells count="8">
    <mergeCell ref="P2:P3"/>
    <mergeCell ref="O2:O3"/>
    <mergeCell ref="A29:J29"/>
    <mergeCell ref="A2:A3"/>
    <mergeCell ref="B2:B3"/>
    <mergeCell ref="C2:F2"/>
    <mergeCell ref="G2:J2"/>
    <mergeCell ref="K2:N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0E3FA5-07AA-7A41-8B88-C38687F939F4}">
  <dimension ref="A2:V78"/>
  <sheetViews>
    <sheetView topLeftCell="A3" workbookViewId="0">
      <selection activeCell="O40" sqref="O40"/>
    </sheetView>
  </sheetViews>
  <sheetFormatPr baseColWidth="10" defaultRowHeight="16" x14ac:dyDescent="0.2"/>
  <cols>
    <col min="11" max="11" width="13" bestFit="1" customWidth="1"/>
  </cols>
  <sheetData>
    <row r="2" spans="1:22" ht="44" customHeight="1" x14ac:dyDescent="0.2">
      <c r="A2" s="47" t="s">
        <v>0</v>
      </c>
      <c r="B2" s="49" t="s">
        <v>96</v>
      </c>
      <c r="C2" s="51" t="s">
        <v>97</v>
      </c>
      <c r="D2" s="52"/>
      <c r="E2" s="52"/>
      <c r="F2" s="53"/>
      <c r="G2" s="54" t="s">
        <v>98</v>
      </c>
      <c r="H2" s="54"/>
      <c r="I2" s="54"/>
      <c r="J2" s="55"/>
      <c r="K2" s="56" t="s">
        <v>99</v>
      </c>
      <c r="L2" s="57"/>
      <c r="M2" s="57"/>
      <c r="N2" s="57"/>
      <c r="O2" s="42" t="s">
        <v>7</v>
      </c>
      <c r="P2" s="42" t="s">
        <v>6</v>
      </c>
    </row>
    <row r="3" spans="1:22" ht="54" customHeight="1" x14ac:dyDescent="0.2">
      <c r="A3" s="48"/>
      <c r="B3" s="50"/>
      <c r="C3" s="17" t="s">
        <v>2</v>
      </c>
      <c r="D3" s="18" t="s">
        <v>3</v>
      </c>
      <c r="E3" s="18" t="s">
        <v>4</v>
      </c>
      <c r="F3" s="19" t="s">
        <v>5</v>
      </c>
      <c r="G3" s="18" t="s">
        <v>2</v>
      </c>
      <c r="H3" s="18" t="s">
        <v>3</v>
      </c>
      <c r="I3" s="18" t="s">
        <v>4</v>
      </c>
      <c r="J3" s="19" t="s">
        <v>5</v>
      </c>
      <c r="K3" s="17" t="s">
        <v>2</v>
      </c>
      <c r="L3" s="18" t="s">
        <v>3</v>
      </c>
      <c r="M3" s="18" t="s">
        <v>4</v>
      </c>
      <c r="N3" s="18" t="s">
        <v>5</v>
      </c>
      <c r="O3" s="43"/>
      <c r="P3" s="43"/>
    </row>
    <row r="4" spans="1:22" x14ac:dyDescent="0.2">
      <c r="A4" t="s">
        <v>10</v>
      </c>
      <c r="B4">
        <v>70292</v>
      </c>
      <c r="C4" s="32">
        <v>1.7599999999999999E-14</v>
      </c>
      <c r="D4" s="2" t="s">
        <v>9</v>
      </c>
      <c r="E4" s="2" t="s">
        <v>95</v>
      </c>
      <c r="F4" s="4" t="s">
        <v>9</v>
      </c>
      <c r="G4" s="13">
        <v>9.859999999999999E-4</v>
      </c>
      <c r="H4" s="2" t="s">
        <v>9</v>
      </c>
      <c r="I4" s="7" t="s">
        <v>95</v>
      </c>
      <c r="J4" s="8" t="s">
        <v>9</v>
      </c>
      <c r="K4" s="20" t="s">
        <v>95</v>
      </c>
      <c r="L4" s="7" t="s">
        <v>9</v>
      </c>
      <c r="M4" s="7">
        <v>1.38E-12</v>
      </c>
      <c r="N4" s="7" t="s">
        <v>9</v>
      </c>
      <c r="O4" s="33" t="s">
        <v>363</v>
      </c>
      <c r="P4" s="33" t="e">
        <v>#N/A</v>
      </c>
    </row>
    <row r="5" spans="1:22" x14ac:dyDescent="0.2">
      <c r="A5" t="s">
        <v>11</v>
      </c>
      <c r="B5">
        <v>64652</v>
      </c>
      <c r="C5" s="10" t="s">
        <v>9</v>
      </c>
      <c r="D5" s="11">
        <v>1</v>
      </c>
      <c r="E5" s="11">
        <v>1.6E-34</v>
      </c>
      <c r="F5" s="28">
        <v>1.0000000000000001E-5</v>
      </c>
      <c r="G5" s="2"/>
      <c r="H5" s="11">
        <v>1</v>
      </c>
      <c r="I5" s="2" t="s">
        <v>95</v>
      </c>
      <c r="J5" s="29">
        <v>1E-22</v>
      </c>
      <c r="K5" s="9" t="s">
        <v>95</v>
      </c>
      <c r="L5" s="2">
        <v>1</v>
      </c>
      <c r="M5" s="2" t="s">
        <v>95</v>
      </c>
      <c r="N5" s="2">
        <v>1</v>
      </c>
      <c r="O5" s="34" t="s">
        <v>388</v>
      </c>
      <c r="P5" s="34" t="s">
        <v>12</v>
      </c>
      <c r="R5" s="1"/>
      <c r="T5" s="1"/>
    </row>
    <row r="6" spans="1:22" x14ac:dyDescent="0.2">
      <c r="A6" t="s">
        <v>16</v>
      </c>
      <c r="B6">
        <v>30622</v>
      </c>
      <c r="C6" s="9">
        <v>4.4400000000000002E-10</v>
      </c>
      <c r="D6" s="29">
        <v>9.9999999999999997E-65</v>
      </c>
      <c r="E6" s="2" t="s">
        <v>95</v>
      </c>
      <c r="F6" s="28">
        <v>9.9999999999999998E-86</v>
      </c>
      <c r="G6" s="11">
        <v>2.23E-5</v>
      </c>
      <c r="H6" s="29">
        <v>1E-70</v>
      </c>
      <c r="I6" s="2" t="s">
        <v>95</v>
      </c>
      <c r="J6" s="29">
        <v>1.0000000000000001E-239</v>
      </c>
      <c r="K6" s="10">
        <v>1.2099999999999999E-221</v>
      </c>
      <c r="L6" s="2">
        <v>0.1</v>
      </c>
      <c r="M6" s="2">
        <v>7.5799999999999997E-10</v>
      </c>
      <c r="N6" s="2">
        <v>9.9999999999999995E-58</v>
      </c>
      <c r="O6" s="34" t="s">
        <v>363</v>
      </c>
      <c r="P6" s="34" t="s">
        <v>16</v>
      </c>
      <c r="R6" s="1"/>
      <c r="T6" s="1"/>
      <c r="U6" s="1"/>
      <c r="V6" s="1"/>
    </row>
    <row r="7" spans="1:22" x14ac:dyDescent="0.2">
      <c r="A7" s="21" t="s">
        <v>19</v>
      </c>
      <c r="B7" s="21">
        <v>23262</v>
      </c>
      <c r="C7" s="22" t="s">
        <v>95</v>
      </c>
      <c r="D7" s="23" t="s">
        <v>9</v>
      </c>
      <c r="E7" s="23" t="s">
        <v>95</v>
      </c>
      <c r="F7" s="24" t="s">
        <v>9</v>
      </c>
      <c r="G7" s="23" t="s">
        <v>95</v>
      </c>
      <c r="H7" s="23" t="s">
        <v>9</v>
      </c>
      <c r="I7" s="23" t="s">
        <v>95</v>
      </c>
      <c r="J7" s="24" t="s">
        <v>9</v>
      </c>
      <c r="K7" s="22">
        <v>3.3199999999999999E-32</v>
      </c>
      <c r="L7" s="23" t="s">
        <v>9</v>
      </c>
      <c r="M7" s="23">
        <v>5.9999999999999998E-38</v>
      </c>
      <c r="N7" s="23" t="s">
        <v>9</v>
      </c>
      <c r="O7" s="39" t="s">
        <v>111</v>
      </c>
      <c r="P7" s="39" t="e">
        <v>#N/A</v>
      </c>
    </row>
    <row r="8" spans="1:22" x14ac:dyDescent="0.2">
      <c r="A8" s="21" t="s">
        <v>20</v>
      </c>
      <c r="B8" s="21">
        <v>22129</v>
      </c>
      <c r="C8" s="22" t="s">
        <v>95</v>
      </c>
      <c r="D8" s="23" t="s">
        <v>9</v>
      </c>
      <c r="E8" s="23" t="s">
        <v>95</v>
      </c>
      <c r="F8" s="24" t="s">
        <v>9</v>
      </c>
      <c r="G8" s="23">
        <v>2.17E-18</v>
      </c>
      <c r="H8" s="23" t="s">
        <v>9</v>
      </c>
      <c r="I8" s="23" t="s">
        <v>95</v>
      </c>
      <c r="J8" s="24" t="s">
        <v>9</v>
      </c>
      <c r="K8" s="22" t="s">
        <v>95</v>
      </c>
      <c r="L8" s="23" t="s">
        <v>9</v>
      </c>
      <c r="M8" s="23" t="s">
        <v>95</v>
      </c>
      <c r="N8" s="23" t="s">
        <v>9</v>
      </c>
      <c r="O8" s="39" t="s">
        <v>111</v>
      </c>
      <c r="P8" s="39" t="e">
        <v>#N/A</v>
      </c>
    </row>
    <row r="9" spans="1:22" x14ac:dyDescent="0.2">
      <c r="A9" s="21" t="s">
        <v>23</v>
      </c>
      <c r="B9" s="21">
        <v>12061</v>
      </c>
      <c r="C9" s="22" t="s">
        <v>95</v>
      </c>
      <c r="D9" s="23" t="s">
        <v>9</v>
      </c>
      <c r="E9" s="23" t="s">
        <v>95</v>
      </c>
      <c r="F9" s="24" t="s">
        <v>9</v>
      </c>
      <c r="G9" s="23" t="s">
        <v>95</v>
      </c>
      <c r="H9" s="23" t="s">
        <v>9</v>
      </c>
      <c r="I9" s="23" t="s">
        <v>95</v>
      </c>
      <c r="J9" s="24" t="s">
        <v>9</v>
      </c>
      <c r="K9" s="22" t="s">
        <v>95</v>
      </c>
      <c r="L9" s="23" t="s">
        <v>9</v>
      </c>
      <c r="M9" s="23">
        <v>1.8700000000000001E-20</v>
      </c>
      <c r="N9" s="23" t="s">
        <v>9</v>
      </c>
      <c r="O9" s="39" t="s">
        <v>111</v>
      </c>
      <c r="P9" s="39" t="e">
        <v>#N/A</v>
      </c>
    </row>
    <row r="10" spans="1:22" x14ac:dyDescent="0.2">
      <c r="A10" t="s">
        <v>24</v>
      </c>
      <c r="B10">
        <v>10410</v>
      </c>
      <c r="C10" s="10" t="s">
        <v>95</v>
      </c>
      <c r="D10" s="29">
        <v>9.9999999999999993E-40</v>
      </c>
      <c r="E10" s="2" t="s">
        <v>95</v>
      </c>
      <c r="F10" s="27">
        <v>1.0000000000000001E-68</v>
      </c>
      <c r="G10" s="2" t="s">
        <v>95</v>
      </c>
      <c r="H10" s="29">
        <v>1.0000000000000001E-101</v>
      </c>
      <c r="I10" s="2" t="s">
        <v>95</v>
      </c>
      <c r="J10" s="13">
        <v>9.9999999999999994E-37</v>
      </c>
      <c r="K10" s="10" t="s">
        <v>95</v>
      </c>
      <c r="L10" s="2">
        <v>1</v>
      </c>
      <c r="M10" s="2">
        <v>1.6100000000000001E-11</v>
      </c>
      <c r="N10" s="2">
        <v>1</v>
      </c>
      <c r="O10" s="34" t="s">
        <v>363</v>
      </c>
      <c r="P10" s="34" t="s">
        <v>24</v>
      </c>
      <c r="R10" s="1"/>
      <c r="T10" s="1"/>
      <c r="V10" s="1"/>
    </row>
    <row r="11" spans="1:22" x14ac:dyDescent="0.2">
      <c r="A11" t="s">
        <v>27</v>
      </c>
      <c r="B11">
        <v>7005</v>
      </c>
      <c r="C11" s="10" t="s">
        <v>95</v>
      </c>
      <c r="D11" s="11">
        <v>1</v>
      </c>
      <c r="E11" s="2" t="s">
        <v>95</v>
      </c>
      <c r="F11" s="12">
        <v>1E-4</v>
      </c>
      <c r="G11" s="2" t="s">
        <v>95</v>
      </c>
      <c r="H11" s="2" t="s">
        <v>95</v>
      </c>
      <c r="I11" s="2" t="s">
        <v>95</v>
      </c>
      <c r="J11" s="2" t="s">
        <v>95</v>
      </c>
      <c r="K11" s="10" t="s">
        <v>95</v>
      </c>
      <c r="L11" s="2" t="s">
        <v>95</v>
      </c>
      <c r="M11" s="2" t="s">
        <v>95</v>
      </c>
      <c r="N11" s="2" t="s">
        <v>95</v>
      </c>
      <c r="O11" s="34" t="s">
        <v>363</v>
      </c>
      <c r="P11" s="34" t="s">
        <v>27</v>
      </c>
    </row>
    <row r="12" spans="1:22" x14ac:dyDescent="0.2">
      <c r="A12" t="s">
        <v>28</v>
      </c>
      <c r="B12">
        <v>6476</v>
      </c>
      <c r="C12" s="10" t="s">
        <v>95</v>
      </c>
      <c r="D12" s="11">
        <v>1</v>
      </c>
      <c r="E12" s="2" t="s">
        <v>95</v>
      </c>
      <c r="F12" s="12">
        <v>0.01</v>
      </c>
      <c r="G12" s="2" t="s">
        <v>95</v>
      </c>
      <c r="H12" s="2" t="s">
        <v>9</v>
      </c>
      <c r="I12" s="2" t="s">
        <v>95</v>
      </c>
      <c r="J12" s="2" t="s">
        <v>9</v>
      </c>
      <c r="K12" s="10" t="s">
        <v>95</v>
      </c>
      <c r="L12" s="2" t="s">
        <v>9</v>
      </c>
      <c r="M12" s="2" t="s">
        <v>95</v>
      </c>
      <c r="N12" s="2" t="s">
        <v>9</v>
      </c>
      <c r="O12" s="34" t="s">
        <v>120</v>
      </c>
      <c r="P12" s="34" t="e">
        <v>#N/A</v>
      </c>
    </row>
    <row r="13" spans="1:22" x14ac:dyDescent="0.2">
      <c r="A13" t="s">
        <v>30</v>
      </c>
      <c r="B13">
        <v>5837</v>
      </c>
      <c r="C13" s="10" t="s">
        <v>95</v>
      </c>
      <c r="D13" s="11">
        <v>1</v>
      </c>
      <c r="E13" s="2" t="s">
        <v>95</v>
      </c>
      <c r="F13" s="12">
        <v>1</v>
      </c>
      <c r="G13" s="2"/>
      <c r="H13" s="2"/>
      <c r="I13" s="2"/>
      <c r="J13" s="2"/>
      <c r="K13" s="10"/>
      <c r="L13" s="2"/>
      <c r="M13" s="2"/>
      <c r="N13" s="2"/>
      <c r="O13" s="34" t="s">
        <v>120</v>
      </c>
      <c r="P13" s="34" t="s">
        <v>30</v>
      </c>
    </row>
    <row r="14" spans="1:22" x14ac:dyDescent="0.2">
      <c r="A14" s="21" t="s">
        <v>32</v>
      </c>
      <c r="B14" s="21">
        <v>5703</v>
      </c>
      <c r="C14" s="22" t="s">
        <v>95</v>
      </c>
      <c r="D14" s="23" t="s">
        <v>9</v>
      </c>
      <c r="E14" s="23" t="s">
        <v>95</v>
      </c>
      <c r="F14" s="24" t="s">
        <v>9</v>
      </c>
      <c r="G14" s="23"/>
      <c r="H14" s="23" t="s">
        <v>9</v>
      </c>
      <c r="I14" s="23" t="s">
        <v>95</v>
      </c>
      <c r="J14" s="23" t="s">
        <v>9</v>
      </c>
      <c r="K14" s="22" t="s">
        <v>95</v>
      </c>
      <c r="L14" s="23" t="s">
        <v>9</v>
      </c>
      <c r="M14" s="23" t="s">
        <v>95</v>
      </c>
      <c r="N14" s="23" t="s">
        <v>9</v>
      </c>
      <c r="O14" s="39" t="s">
        <v>111</v>
      </c>
      <c r="P14" s="39" t="e">
        <v>#N/A</v>
      </c>
    </row>
    <row r="15" spans="1:22" x14ac:dyDescent="0.2">
      <c r="A15" t="s">
        <v>36</v>
      </c>
      <c r="B15">
        <v>5138</v>
      </c>
      <c r="C15" s="10" t="s">
        <v>95</v>
      </c>
      <c r="D15" s="11">
        <v>1</v>
      </c>
      <c r="E15" s="2" t="s">
        <v>95</v>
      </c>
      <c r="F15" s="12">
        <v>0.1</v>
      </c>
      <c r="G15" s="2" t="s">
        <v>95</v>
      </c>
      <c r="H15" s="2" t="s">
        <v>9</v>
      </c>
      <c r="I15" s="2" t="s">
        <v>95</v>
      </c>
      <c r="J15" s="11" t="s">
        <v>9</v>
      </c>
      <c r="K15" s="10" t="s">
        <v>95</v>
      </c>
      <c r="L15" s="2" t="s">
        <v>9</v>
      </c>
      <c r="M15" s="2" t="s">
        <v>95</v>
      </c>
      <c r="N15" s="2" t="s">
        <v>9</v>
      </c>
      <c r="O15" s="34" t="s">
        <v>363</v>
      </c>
      <c r="P15" s="34" t="e">
        <v>#N/A</v>
      </c>
    </row>
    <row r="16" spans="1:22" x14ac:dyDescent="0.2">
      <c r="A16" s="21" t="s">
        <v>37</v>
      </c>
      <c r="B16" s="21">
        <v>4896</v>
      </c>
      <c r="C16" s="22" t="s">
        <v>95</v>
      </c>
      <c r="D16" s="25">
        <v>1</v>
      </c>
      <c r="E16" s="23" t="s">
        <v>95</v>
      </c>
      <c r="F16" s="26">
        <v>1</v>
      </c>
      <c r="G16" s="23" t="s">
        <v>95</v>
      </c>
      <c r="H16" s="30">
        <v>1E-3</v>
      </c>
      <c r="I16" s="23" t="s">
        <v>95</v>
      </c>
      <c r="J16" s="23">
        <v>1</v>
      </c>
      <c r="K16" s="22" t="s">
        <v>95</v>
      </c>
      <c r="L16" s="23">
        <v>1</v>
      </c>
      <c r="M16" s="23" t="s">
        <v>95</v>
      </c>
      <c r="N16" s="23">
        <v>1</v>
      </c>
      <c r="O16" s="39" t="s">
        <v>111</v>
      </c>
      <c r="P16" s="39" t="s">
        <v>38</v>
      </c>
      <c r="R16" s="1"/>
      <c r="T16" s="1"/>
    </row>
    <row r="17" spans="1:22" x14ac:dyDescent="0.2">
      <c r="A17" t="s">
        <v>39</v>
      </c>
      <c r="B17">
        <v>4760</v>
      </c>
      <c r="C17" s="10" t="s">
        <v>95</v>
      </c>
      <c r="D17" s="2" t="s">
        <v>9</v>
      </c>
      <c r="E17" s="2" t="s">
        <v>95</v>
      </c>
      <c r="F17" s="4" t="s">
        <v>9</v>
      </c>
      <c r="G17" s="2" t="s">
        <v>95</v>
      </c>
      <c r="H17" s="2" t="s">
        <v>9</v>
      </c>
      <c r="I17" s="2" t="s">
        <v>95</v>
      </c>
      <c r="J17" s="2" t="s">
        <v>9</v>
      </c>
      <c r="K17" s="10" t="s">
        <v>95</v>
      </c>
      <c r="L17" s="2" t="s">
        <v>9</v>
      </c>
      <c r="M17" s="2" t="s">
        <v>95</v>
      </c>
      <c r="N17" s="2" t="s">
        <v>9</v>
      </c>
      <c r="O17" s="34" t="s">
        <v>120</v>
      </c>
      <c r="P17" s="34" t="e">
        <v>#N/A</v>
      </c>
    </row>
    <row r="18" spans="1:22" x14ac:dyDescent="0.2">
      <c r="A18" t="s">
        <v>42</v>
      </c>
      <c r="B18">
        <v>4391</v>
      </c>
      <c r="C18" s="10" t="s">
        <v>95</v>
      </c>
      <c r="D18" s="2" t="s">
        <v>9</v>
      </c>
      <c r="E18" s="2" t="s">
        <v>95</v>
      </c>
      <c r="F18" s="4" t="s">
        <v>9</v>
      </c>
      <c r="G18" s="2" t="s">
        <v>95</v>
      </c>
      <c r="H18" s="2" t="s">
        <v>9</v>
      </c>
      <c r="I18" s="2" t="s">
        <v>95</v>
      </c>
      <c r="J18" s="2" t="s">
        <v>9</v>
      </c>
      <c r="K18" s="10" t="s">
        <v>95</v>
      </c>
      <c r="L18" s="2" t="s">
        <v>9</v>
      </c>
      <c r="M18" s="2" t="s">
        <v>95</v>
      </c>
      <c r="N18" s="2" t="s">
        <v>9</v>
      </c>
      <c r="O18" s="34" t="s">
        <v>120</v>
      </c>
      <c r="P18" s="34" t="e">
        <v>#N/A</v>
      </c>
    </row>
    <row r="19" spans="1:22" x14ac:dyDescent="0.2">
      <c r="A19" s="21" t="s">
        <v>43</v>
      </c>
      <c r="B19" s="21">
        <v>4325</v>
      </c>
      <c r="C19" s="22" t="s">
        <v>95</v>
      </c>
      <c r="D19" s="23" t="s">
        <v>9</v>
      </c>
      <c r="E19" s="23" t="s">
        <v>95</v>
      </c>
      <c r="F19" s="24" t="s">
        <v>9</v>
      </c>
      <c r="G19" s="23" t="s">
        <v>95</v>
      </c>
      <c r="H19" s="23" t="s">
        <v>9</v>
      </c>
      <c r="I19" s="23" t="s">
        <v>95</v>
      </c>
      <c r="J19" s="25" t="s">
        <v>9</v>
      </c>
      <c r="K19" s="22" t="s">
        <v>95</v>
      </c>
      <c r="L19" s="23" t="s">
        <v>9</v>
      </c>
      <c r="M19" s="23">
        <v>6.7800000000000001E-7</v>
      </c>
      <c r="N19" s="23" t="s">
        <v>9</v>
      </c>
      <c r="O19" s="39" t="s">
        <v>111</v>
      </c>
      <c r="P19" s="39" t="e">
        <v>#N/A</v>
      </c>
    </row>
    <row r="20" spans="1:22" x14ac:dyDescent="0.2">
      <c r="A20" t="s">
        <v>45</v>
      </c>
      <c r="B20">
        <v>3968</v>
      </c>
      <c r="C20" s="9">
        <v>1.9300000000000001E-12</v>
      </c>
      <c r="D20" s="11">
        <v>1E-3</v>
      </c>
      <c r="E20" s="2" t="s">
        <v>95</v>
      </c>
      <c r="F20" s="12">
        <v>1E-8</v>
      </c>
      <c r="G20" s="2"/>
      <c r="H20" s="31">
        <v>9.9999999999999999E-160</v>
      </c>
      <c r="I20" s="2" t="s">
        <v>95</v>
      </c>
      <c r="J20" s="2">
        <v>0</v>
      </c>
      <c r="K20" s="10">
        <v>0</v>
      </c>
      <c r="L20" s="2">
        <v>1E-25</v>
      </c>
      <c r="M20" s="2">
        <v>0</v>
      </c>
      <c r="N20" s="2">
        <v>1E-22</v>
      </c>
      <c r="O20" s="34" t="s">
        <v>363</v>
      </c>
      <c r="P20" s="34" t="s">
        <v>46</v>
      </c>
      <c r="R20" s="1"/>
      <c r="T20" s="1"/>
    </row>
    <row r="21" spans="1:22" x14ac:dyDescent="0.2">
      <c r="A21" t="s">
        <v>48</v>
      </c>
      <c r="B21">
        <v>3745</v>
      </c>
      <c r="C21" s="10" t="s">
        <v>95</v>
      </c>
      <c r="D21" s="2" t="s">
        <v>9</v>
      </c>
      <c r="E21" s="2" t="s">
        <v>95</v>
      </c>
      <c r="F21" s="4" t="s">
        <v>9</v>
      </c>
      <c r="G21" s="2" t="s">
        <v>95</v>
      </c>
      <c r="H21" s="2" t="s">
        <v>9</v>
      </c>
      <c r="I21" s="2" t="s">
        <v>95</v>
      </c>
      <c r="J21" s="29" t="s">
        <v>9</v>
      </c>
      <c r="K21" s="10" t="s">
        <v>95</v>
      </c>
      <c r="L21" s="2" t="s">
        <v>9</v>
      </c>
      <c r="M21" s="2" t="s">
        <v>95</v>
      </c>
      <c r="N21" s="2" t="s">
        <v>9</v>
      </c>
      <c r="O21" s="34" t="s">
        <v>120</v>
      </c>
      <c r="P21" s="34" t="e">
        <v>#N/A</v>
      </c>
    </row>
    <row r="22" spans="1:22" x14ac:dyDescent="0.2">
      <c r="A22" t="s">
        <v>52</v>
      </c>
      <c r="B22">
        <v>3331</v>
      </c>
      <c r="C22" s="10" t="s">
        <v>95</v>
      </c>
      <c r="D22" s="11">
        <v>0.1</v>
      </c>
      <c r="E22" s="2" t="s">
        <v>95</v>
      </c>
      <c r="F22" s="12">
        <v>1</v>
      </c>
      <c r="G22" s="2"/>
      <c r="H22" s="2">
        <v>0.1</v>
      </c>
      <c r="I22" s="2" t="s">
        <v>95</v>
      </c>
      <c r="J22" s="2">
        <v>0.1</v>
      </c>
      <c r="K22" s="10" t="s">
        <v>95</v>
      </c>
      <c r="L22" s="2">
        <v>1</v>
      </c>
      <c r="M22" s="2" t="s">
        <v>95</v>
      </c>
      <c r="N22" s="2">
        <v>0.1</v>
      </c>
      <c r="O22" s="34" t="s">
        <v>120</v>
      </c>
      <c r="P22" s="34" t="s">
        <v>53</v>
      </c>
      <c r="R22" s="1"/>
      <c r="T22" s="1"/>
    </row>
    <row r="23" spans="1:22" x14ac:dyDescent="0.2">
      <c r="A23" s="21" t="s">
        <v>55</v>
      </c>
      <c r="B23" s="21">
        <v>2959</v>
      </c>
      <c r="C23" s="22" t="s">
        <v>95</v>
      </c>
      <c r="D23" s="23" t="s">
        <v>9</v>
      </c>
      <c r="E23" s="23" t="s">
        <v>95</v>
      </c>
      <c r="F23" s="24" t="s">
        <v>9</v>
      </c>
      <c r="G23" s="23" t="s">
        <v>95</v>
      </c>
      <c r="H23" s="23" t="s">
        <v>9</v>
      </c>
      <c r="I23" s="23" t="s">
        <v>95</v>
      </c>
      <c r="J23" s="23" t="s">
        <v>9</v>
      </c>
      <c r="K23" s="22" t="s">
        <v>95</v>
      </c>
      <c r="L23" s="23" t="s">
        <v>9</v>
      </c>
      <c r="M23" s="23" t="s">
        <v>95</v>
      </c>
      <c r="N23" s="23" t="s">
        <v>9</v>
      </c>
      <c r="O23" s="39" t="s">
        <v>111</v>
      </c>
      <c r="P23" s="39" t="e">
        <v>#N/A</v>
      </c>
    </row>
    <row r="24" spans="1:22" x14ac:dyDescent="0.2">
      <c r="A24" t="s">
        <v>61</v>
      </c>
      <c r="B24">
        <v>2303</v>
      </c>
      <c r="C24" s="10" t="s">
        <v>95</v>
      </c>
      <c r="D24" s="2" t="s">
        <v>9</v>
      </c>
      <c r="E24" s="2" t="s">
        <v>95</v>
      </c>
      <c r="F24" s="4" t="s">
        <v>9</v>
      </c>
      <c r="G24" s="2" t="s">
        <v>95</v>
      </c>
      <c r="H24" s="11" t="s">
        <v>9</v>
      </c>
      <c r="I24" s="2" t="s">
        <v>95</v>
      </c>
      <c r="J24" s="2" t="s">
        <v>9</v>
      </c>
      <c r="K24" s="9" t="s">
        <v>95</v>
      </c>
      <c r="L24" s="2" t="s">
        <v>9</v>
      </c>
      <c r="M24" s="2" t="s">
        <v>95</v>
      </c>
      <c r="N24" s="2" t="s">
        <v>9</v>
      </c>
      <c r="O24" s="34" t="s">
        <v>363</v>
      </c>
      <c r="P24" s="34" t="e">
        <v>#N/A</v>
      </c>
    </row>
    <row r="25" spans="1:22" x14ac:dyDescent="0.2">
      <c r="A25" t="s">
        <v>62</v>
      </c>
      <c r="B25">
        <v>2123</v>
      </c>
      <c r="C25" s="10" t="s">
        <v>95</v>
      </c>
      <c r="D25" s="2" t="s">
        <v>9</v>
      </c>
      <c r="E25" s="2" t="s">
        <v>95</v>
      </c>
      <c r="F25" s="4" t="s">
        <v>9</v>
      </c>
      <c r="G25" s="2" t="s">
        <v>95</v>
      </c>
      <c r="H25" s="2" t="s">
        <v>9</v>
      </c>
      <c r="I25" s="2" t="s">
        <v>95</v>
      </c>
      <c r="J25" s="2" t="s">
        <v>9</v>
      </c>
      <c r="K25" s="10" t="s">
        <v>95</v>
      </c>
      <c r="L25" s="2" t="s">
        <v>9</v>
      </c>
      <c r="M25" s="2" t="s">
        <v>95</v>
      </c>
      <c r="N25" s="2" t="s">
        <v>9</v>
      </c>
      <c r="O25" s="34" t="s">
        <v>363</v>
      </c>
      <c r="P25" s="34" t="e">
        <v>#N/A</v>
      </c>
    </row>
    <row r="26" spans="1:22" x14ac:dyDescent="0.2">
      <c r="A26" t="s">
        <v>64</v>
      </c>
      <c r="B26">
        <v>1980</v>
      </c>
      <c r="C26" s="10" t="s">
        <v>95</v>
      </c>
      <c r="D26" s="2" t="s">
        <v>9</v>
      </c>
      <c r="E26" s="2" t="s">
        <v>95</v>
      </c>
      <c r="F26" s="4" t="s">
        <v>9</v>
      </c>
      <c r="G26" s="2" t="s">
        <v>95</v>
      </c>
      <c r="H26" s="2" t="s">
        <v>9</v>
      </c>
      <c r="I26" s="2" t="s">
        <v>95</v>
      </c>
      <c r="J26" s="29" t="s">
        <v>9</v>
      </c>
      <c r="K26" s="10" t="s">
        <v>95</v>
      </c>
      <c r="L26" s="2" t="s">
        <v>9</v>
      </c>
      <c r="M26" s="2" t="s">
        <v>95</v>
      </c>
      <c r="N26" s="2" t="s">
        <v>9</v>
      </c>
      <c r="O26" s="34" t="s">
        <v>120</v>
      </c>
      <c r="P26" s="34" t="e">
        <v>#N/A</v>
      </c>
    </row>
    <row r="27" spans="1:22" x14ac:dyDescent="0.2">
      <c r="A27" t="s">
        <v>67</v>
      </c>
      <c r="B27">
        <v>1764</v>
      </c>
      <c r="C27" s="10" t="s">
        <v>95</v>
      </c>
      <c r="D27" s="11">
        <v>1</v>
      </c>
      <c r="E27" s="2" t="s">
        <v>95</v>
      </c>
      <c r="F27" s="4" t="s">
        <v>9</v>
      </c>
      <c r="G27" s="29">
        <v>4.3200000000000001E-3</v>
      </c>
      <c r="H27" s="2">
        <v>1</v>
      </c>
      <c r="I27" s="2" t="s">
        <v>95</v>
      </c>
      <c r="J27" s="2">
        <v>0.01</v>
      </c>
      <c r="K27" s="10" t="s">
        <v>95</v>
      </c>
      <c r="L27" s="2">
        <v>1</v>
      </c>
      <c r="M27" s="2" t="s">
        <v>95</v>
      </c>
      <c r="N27" s="2">
        <v>1</v>
      </c>
      <c r="O27" s="34" t="s">
        <v>363</v>
      </c>
      <c r="P27" s="34" t="s">
        <v>68</v>
      </c>
      <c r="R27" s="1"/>
      <c r="T27" s="1"/>
    </row>
    <row r="28" spans="1:22" x14ac:dyDescent="0.2">
      <c r="A28" s="21" t="s">
        <v>69</v>
      </c>
      <c r="B28" s="21">
        <v>1758</v>
      </c>
      <c r="C28" s="22" t="s">
        <v>95</v>
      </c>
      <c r="D28" s="23" t="s">
        <v>9</v>
      </c>
      <c r="E28" s="23" t="s">
        <v>95</v>
      </c>
      <c r="F28" s="24" t="s">
        <v>9</v>
      </c>
      <c r="G28" s="23" t="s">
        <v>95</v>
      </c>
      <c r="H28" s="23" t="s">
        <v>9</v>
      </c>
      <c r="I28" s="23" t="s">
        <v>95</v>
      </c>
      <c r="J28" s="23" t="s">
        <v>9</v>
      </c>
      <c r="K28" s="22" t="s">
        <v>95</v>
      </c>
      <c r="L28" s="23" t="s">
        <v>9</v>
      </c>
      <c r="M28" s="23" t="s">
        <v>95</v>
      </c>
      <c r="N28" s="23" t="s">
        <v>9</v>
      </c>
      <c r="O28" s="39" t="s">
        <v>111</v>
      </c>
      <c r="P28" s="39" t="e">
        <v>#N/A</v>
      </c>
    </row>
    <row r="29" spans="1:22" x14ac:dyDescent="0.2">
      <c r="A29" t="s">
        <v>70</v>
      </c>
      <c r="B29">
        <v>1736</v>
      </c>
      <c r="C29" s="10" t="s">
        <v>95</v>
      </c>
      <c r="D29" s="11">
        <v>1</v>
      </c>
      <c r="E29" s="2" t="s">
        <v>95</v>
      </c>
      <c r="F29" s="12">
        <v>1</v>
      </c>
      <c r="G29" s="2" t="s">
        <v>95</v>
      </c>
      <c r="H29" s="2" t="s">
        <v>95</v>
      </c>
      <c r="I29" s="2" t="s">
        <v>95</v>
      </c>
      <c r="J29" s="2" t="s">
        <v>95</v>
      </c>
      <c r="K29" s="10" t="s">
        <v>95</v>
      </c>
      <c r="L29" s="2" t="s">
        <v>95</v>
      </c>
      <c r="M29" s="2" t="s">
        <v>95</v>
      </c>
      <c r="N29" s="2" t="s">
        <v>95</v>
      </c>
      <c r="O29" s="34" t="s">
        <v>363</v>
      </c>
      <c r="P29" s="34" t="s">
        <v>70</v>
      </c>
    </row>
    <row r="30" spans="1:22" x14ac:dyDescent="0.2">
      <c r="A30" t="s">
        <v>71</v>
      </c>
      <c r="B30">
        <v>1637</v>
      </c>
      <c r="C30" s="10" t="s">
        <v>95</v>
      </c>
      <c r="D30" s="2" t="s">
        <v>9</v>
      </c>
      <c r="E30" s="2" t="s">
        <v>95</v>
      </c>
      <c r="F30" s="4" t="s">
        <v>9</v>
      </c>
      <c r="G30" s="2" t="s">
        <v>95</v>
      </c>
      <c r="H30" s="2" t="s">
        <v>9</v>
      </c>
      <c r="I30" s="2" t="s">
        <v>95</v>
      </c>
      <c r="J30" s="29" t="s">
        <v>9</v>
      </c>
      <c r="K30" s="10" t="s">
        <v>95</v>
      </c>
      <c r="L30" s="2" t="s">
        <v>9</v>
      </c>
      <c r="M30" s="2" t="s">
        <v>95</v>
      </c>
      <c r="N30" s="2" t="s">
        <v>9</v>
      </c>
      <c r="O30" s="34" t="s">
        <v>388</v>
      </c>
      <c r="P30" s="34" t="e">
        <v>#N/A</v>
      </c>
    </row>
    <row r="31" spans="1:22" x14ac:dyDescent="0.2">
      <c r="A31" t="s">
        <v>76</v>
      </c>
      <c r="B31">
        <v>1416</v>
      </c>
      <c r="C31" s="10" t="s">
        <v>95</v>
      </c>
      <c r="D31" s="29">
        <v>1E-22</v>
      </c>
      <c r="E31" s="2" t="s">
        <v>95</v>
      </c>
      <c r="F31" s="12">
        <v>1.0000000000000001E-18</v>
      </c>
      <c r="G31" s="2" t="s">
        <v>95</v>
      </c>
      <c r="H31" s="31">
        <v>9.9999999999999992E-25</v>
      </c>
      <c r="I31" s="2" t="s">
        <v>95</v>
      </c>
      <c r="J31" s="2">
        <v>1E-107</v>
      </c>
      <c r="K31" s="10">
        <v>7.8600000000000003E-305</v>
      </c>
      <c r="L31" s="2">
        <v>1</v>
      </c>
      <c r="M31" s="2">
        <v>0</v>
      </c>
      <c r="N31" s="2">
        <v>9.9999999999999996E-70</v>
      </c>
      <c r="O31" s="34" t="s">
        <v>363</v>
      </c>
      <c r="P31" s="34" t="s">
        <v>76</v>
      </c>
      <c r="R31" s="1"/>
      <c r="T31" s="1"/>
      <c r="U31" s="1"/>
      <c r="V31" s="1"/>
    </row>
    <row r="32" spans="1:22" x14ac:dyDescent="0.2">
      <c r="A32" s="21" t="s">
        <v>78</v>
      </c>
      <c r="B32" s="21">
        <v>1277</v>
      </c>
      <c r="C32" s="22" t="s">
        <v>95</v>
      </c>
      <c r="D32" s="23" t="s">
        <v>9</v>
      </c>
      <c r="E32" s="23" t="s">
        <v>95</v>
      </c>
      <c r="F32" s="24" t="s">
        <v>9</v>
      </c>
      <c r="G32" s="23" t="s">
        <v>95</v>
      </c>
      <c r="H32" s="23" t="s">
        <v>9</v>
      </c>
      <c r="I32" s="23" t="s">
        <v>95</v>
      </c>
      <c r="J32" s="23" t="s">
        <v>9</v>
      </c>
      <c r="K32" s="22" t="s">
        <v>95</v>
      </c>
      <c r="L32" s="23" t="s">
        <v>9</v>
      </c>
      <c r="M32" s="23" t="s">
        <v>95</v>
      </c>
      <c r="N32" s="23" t="s">
        <v>9</v>
      </c>
      <c r="O32" s="39" t="s">
        <v>111</v>
      </c>
      <c r="P32" s="39" t="e">
        <v>#N/A</v>
      </c>
    </row>
    <row r="33" spans="1:20" x14ac:dyDescent="0.2">
      <c r="A33" s="21" t="s">
        <v>84</v>
      </c>
      <c r="B33" s="21">
        <v>1224</v>
      </c>
      <c r="C33" s="22" t="s">
        <v>95</v>
      </c>
      <c r="D33" s="25">
        <v>1</v>
      </c>
      <c r="E33" s="23" t="s">
        <v>95</v>
      </c>
      <c r="F33" s="26">
        <v>1</v>
      </c>
      <c r="G33" s="23" t="s">
        <v>95</v>
      </c>
      <c r="H33" s="23" t="s">
        <v>9</v>
      </c>
      <c r="I33" s="23" t="s">
        <v>95</v>
      </c>
      <c r="J33" s="23" t="s">
        <v>9</v>
      </c>
      <c r="K33" s="22" t="s">
        <v>95</v>
      </c>
      <c r="L33" s="23" t="s">
        <v>9</v>
      </c>
      <c r="M33" s="23" t="s">
        <v>95</v>
      </c>
      <c r="N33" s="23" t="s">
        <v>9</v>
      </c>
      <c r="O33" s="39" t="s">
        <v>111</v>
      </c>
      <c r="P33" s="39" t="e">
        <v>#N/A</v>
      </c>
    </row>
    <row r="34" spans="1:20" x14ac:dyDescent="0.2">
      <c r="A34" t="s">
        <v>85</v>
      </c>
      <c r="B34">
        <v>1211</v>
      </c>
      <c r="C34" s="10" t="s">
        <v>95</v>
      </c>
      <c r="D34" s="2" t="s">
        <v>9</v>
      </c>
      <c r="E34" s="2" t="s">
        <v>95</v>
      </c>
      <c r="F34" s="4" t="s">
        <v>9</v>
      </c>
      <c r="G34" s="2" t="s">
        <v>95</v>
      </c>
      <c r="H34" s="2" t="s">
        <v>9</v>
      </c>
      <c r="I34" s="2" t="s">
        <v>95</v>
      </c>
      <c r="J34" s="29" t="s">
        <v>9</v>
      </c>
      <c r="K34" s="10" t="s">
        <v>95</v>
      </c>
      <c r="L34" s="2" t="s">
        <v>9</v>
      </c>
      <c r="M34" s="2" t="s">
        <v>95</v>
      </c>
      <c r="N34" s="2" t="s">
        <v>9</v>
      </c>
      <c r="O34" s="34" t="s">
        <v>388</v>
      </c>
      <c r="P34" s="34" t="e">
        <v>#N/A</v>
      </c>
    </row>
    <row r="35" spans="1:20" x14ac:dyDescent="0.2">
      <c r="A35" t="s">
        <v>86</v>
      </c>
      <c r="B35">
        <v>1202</v>
      </c>
      <c r="C35" s="10" t="s">
        <v>95</v>
      </c>
      <c r="D35" s="11">
        <v>1</v>
      </c>
      <c r="E35" s="2" t="s">
        <v>95</v>
      </c>
      <c r="F35" s="12">
        <v>1</v>
      </c>
      <c r="G35" s="2" t="s">
        <v>95</v>
      </c>
      <c r="H35" s="11">
        <v>1</v>
      </c>
      <c r="I35" s="2" t="s">
        <v>95</v>
      </c>
      <c r="J35" s="2">
        <v>1E-25</v>
      </c>
      <c r="K35" s="10" t="s">
        <v>95</v>
      </c>
      <c r="L35" s="2">
        <v>1</v>
      </c>
      <c r="M35" s="2" t="s">
        <v>95</v>
      </c>
      <c r="N35" s="2">
        <v>1</v>
      </c>
      <c r="O35" s="34" t="s">
        <v>363</v>
      </c>
      <c r="P35" s="34" t="s">
        <v>86</v>
      </c>
      <c r="R35" s="1"/>
      <c r="T35" s="1"/>
    </row>
    <row r="36" spans="1:20" x14ac:dyDescent="0.2">
      <c r="A36" t="s">
        <v>89</v>
      </c>
      <c r="B36">
        <v>1046</v>
      </c>
      <c r="C36" s="10" t="s">
        <v>95</v>
      </c>
      <c r="D36" s="2" t="s">
        <v>9</v>
      </c>
      <c r="E36" s="2" t="s">
        <v>95</v>
      </c>
      <c r="F36" s="4" t="s">
        <v>9</v>
      </c>
      <c r="G36" s="2" t="s">
        <v>95</v>
      </c>
      <c r="H36" s="2" t="s">
        <v>9</v>
      </c>
      <c r="I36" s="2" t="s">
        <v>95</v>
      </c>
      <c r="J36" s="2" t="s">
        <v>9</v>
      </c>
      <c r="K36" s="10" t="s">
        <v>95</v>
      </c>
      <c r="L36" s="2" t="s">
        <v>9</v>
      </c>
      <c r="M36" s="2">
        <v>7.8000000000000005E-15</v>
      </c>
      <c r="N36" s="2" t="s">
        <v>9</v>
      </c>
      <c r="O36" s="34" t="s">
        <v>388</v>
      </c>
      <c r="P36" s="34" t="e">
        <v>#N/A</v>
      </c>
    </row>
    <row r="37" spans="1:20" x14ac:dyDescent="0.2">
      <c r="A37" t="s">
        <v>91</v>
      </c>
      <c r="B37">
        <v>1027</v>
      </c>
      <c r="C37" s="14" t="s">
        <v>95</v>
      </c>
      <c r="D37" s="15">
        <v>1</v>
      </c>
      <c r="E37" s="5" t="s">
        <v>95</v>
      </c>
      <c r="F37" s="16">
        <v>1</v>
      </c>
      <c r="G37" s="14" t="s">
        <v>95</v>
      </c>
      <c r="H37" s="5" t="s">
        <v>9</v>
      </c>
      <c r="I37" s="5" t="s">
        <v>95</v>
      </c>
      <c r="J37" s="6" t="s">
        <v>9</v>
      </c>
      <c r="K37" s="14" t="s">
        <v>95</v>
      </c>
      <c r="L37" s="5" t="s">
        <v>9</v>
      </c>
      <c r="M37" s="5" t="s">
        <v>95</v>
      </c>
      <c r="N37" s="5" t="s">
        <v>9</v>
      </c>
      <c r="O37" s="35" t="s">
        <v>363</v>
      </c>
      <c r="P37" s="35" t="e">
        <v>#N/A</v>
      </c>
    </row>
    <row r="39" spans="1:20" x14ac:dyDescent="0.2">
      <c r="A39" s="46" t="s">
        <v>4078</v>
      </c>
      <c r="B39" s="46"/>
      <c r="C39" s="46"/>
      <c r="D39" s="46"/>
      <c r="E39" s="46"/>
      <c r="F39" s="46"/>
      <c r="G39" s="46"/>
      <c r="H39" s="46"/>
      <c r="I39" s="46"/>
      <c r="J39" s="46"/>
    </row>
    <row r="40" spans="1:20" x14ac:dyDescent="0.2">
      <c r="A40" s="59" t="s">
        <v>4077</v>
      </c>
      <c r="B40" s="59"/>
      <c r="C40" s="59"/>
      <c r="D40" s="59"/>
      <c r="E40" s="59"/>
      <c r="F40" s="59"/>
      <c r="G40" s="59"/>
      <c r="H40" s="59"/>
      <c r="I40" s="59"/>
      <c r="J40" s="59"/>
    </row>
    <row r="46" spans="1:20" x14ac:dyDescent="0.2">
      <c r="G46" s="1"/>
      <c r="M46" s="1"/>
    </row>
    <row r="47" spans="1:20" x14ac:dyDescent="0.2">
      <c r="H47" s="1"/>
      <c r="J47" s="1"/>
      <c r="L47" s="1"/>
      <c r="N47" s="1"/>
    </row>
    <row r="48" spans="1:20" x14ac:dyDescent="0.2">
      <c r="G48" s="1"/>
      <c r="H48" s="1"/>
      <c r="J48" s="1"/>
      <c r="K48" s="1"/>
      <c r="L48" s="1"/>
      <c r="M48" s="1"/>
      <c r="N48" s="1"/>
    </row>
    <row r="49" spans="7:14" x14ac:dyDescent="0.2">
      <c r="K49" s="1"/>
      <c r="M49" s="1"/>
    </row>
    <row r="50" spans="7:14" x14ac:dyDescent="0.2">
      <c r="G50" s="1"/>
    </row>
    <row r="51" spans="7:14" x14ac:dyDescent="0.2">
      <c r="M51" s="1"/>
    </row>
    <row r="52" spans="7:14" x14ac:dyDescent="0.2">
      <c r="H52" s="1"/>
      <c r="J52" s="1"/>
      <c r="L52" s="1"/>
      <c r="M52" s="1"/>
      <c r="N52" s="1"/>
    </row>
    <row r="58" spans="7:14" x14ac:dyDescent="0.2">
      <c r="H58" s="1"/>
      <c r="J58" s="1"/>
      <c r="L58" s="1"/>
      <c r="N58" s="1"/>
    </row>
    <row r="61" spans="7:14" x14ac:dyDescent="0.2">
      <c r="M61" s="1"/>
    </row>
    <row r="62" spans="7:14" x14ac:dyDescent="0.2">
      <c r="H62" s="1"/>
      <c r="J62" s="1"/>
      <c r="K62" s="1"/>
      <c r="L62" s="1"/>
      <c r="M62" s="1"/>
      <c r="N62" s="1"/>
    </row>
    <row r="64" spans="7:14" x14ac:dyDescent="0.2">
      <c r="H64" s="1"/>
      <c r="J64" s="1"/>
      <c r="L64" s="1"/>
      <c r="N64" s="1"/>
    </row>
    <row r="69" spans="7:14" x14ac:dyDescent="0.2">
      <c r="G69" s="1"/>
      <c r="H69" s="1"/>
      <c r="J69" s="1"/>
      <c r="L69" s="1"/>
      <c r="N69" s="1"/>
    </row>
    <row r="73" spans="7:14" x14ac:dyDescent="0.2">
      <c r="H73" s="1"/>
      <c r="J73" s="1"/>
      <c r="K73" s="1"/>
      <c r="L73" s="1"/>
      <c r="M73" s="1"/>
      <c r="N73" s="1"/>
    </row>
    <row r="77" spans="7:14" x14ac:dyDescent="0.2">
      <c r="H77" s="1"/>
      <c r="J77" s="1"/>
      <c r="L77" s="1"/>
      <c r="N77" s="1"/>
    </row>
    <row r="78" spans="7:14" x14ac:dyDescent="0.2">
      <c r="M78" s="1"/>
    </row>
  </sheetData>
  <autoFilter ref="A2:P37" xr:uid="{50DB9296-241B-CF44-A809-3FD02832F6A0}">
    <filterColumn colId="2" showButton="0"/>
    <filterColumn colId="3" showButton="0"/>
    <filterColumn colId="4" showButton="0"/>
    <filterColumn colId="6" showButton="0"/>
    <filterColumn colId="7" showButton="0"/>
    <filterColumn colId="8" showButton="0"/>
    <filterColumn colId="10" showButton="0"/>
    <filterColumn colId="11" showButton="0"/>
    <filterColumn colId="12" showButton="0"/>
    <sortState xmlns:xlrd2="http://schemas.microsoft.com/office/spreadsheetml/2017/richdata2" ref="A5:P37">
      <sortCondition descending="1" ref="B2:B37"/>
    </sortState>
  </autoFilter>
  <mergeCells count="9">
    <mergeCell ref="P2:P3"/>
    <mergeCell ref="A39:J39"/>
    <mergeCell ref="A40:J40"/>
    <mergeCell ref="A2:A3"/>
    <mergeCell ref="B2:B3"/>
    <mergeCell ref="C2:F2"/>
    <mergeCell ref="G2:J2"/>
    <mergeCell ref="K2:N2"/>
    <mergeCell ref="O2:O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3463D3-8E19-1942-9BE6-63C79F02E07D}">
  <dimension ref="A1:E84"/>
  <sheetViews>
    <sheetView workbookViewId="0">
      <selection activeCell="H30" sqref="H30"/>
    </sheetView>
  </sheetViews>
  <sheetFormatPr baseColWidth="10" defaultRowHeight="16" x14ac:dyDescent="0.2"/>
  <cols>
    <col min="4" max="4" width="30.5" bestFit="1" customWidth="1"/>
    <col min="5" max="5" width="29.33203125" bestFit="1" customWidth="1"/>
  </cols>
  <sheetData>
    <row r="1" spans="1:5" x14ac:dyDescent="0.2">
      <c r="A1" t="s">
        <v>0</v>
      </c>
      <c r="B1" t="s">
        <v>103</v>
      </c>
      <c r="C1" t="s">
        <v>102</v>
      </c>
      <c r="D1" t="s">
        <v>101</v>
      </c>
      <c r="E1" t="s">
        <v>100</v>
      </c>
    </row>
    <row r="2" spans="1:5" x14ac:dyDescent="0.2">
      <c r="A2" t="s">
        <v>24</v>
      </c>
      <c r="B2">
        <v>10410</v>
      </c>
      <c r="C2" s="2" t="s">
        <v>24</v>
      </c>
      <c r="D2" t="str">
        <f>_xlfn.XLOOKUP(A2, HOCOMOCOv11_core_annotation_HUM!$B:$B, HOCOMOCOv11_core_annotation_HUM!$D:$D, "Missing")</f>
        <v>A</v>
      </c>
      <c r="E2" t="str">
        <f>_xlfn.XLOOKUP(A2, HOCOMOCOv11_full_annotation_HUM!$B:$B, HOCOMOCOv11_full_annotation_HUM!$D:$D, "Missing")</f>
        <v>A</v>
      </c>
    </row>
    <row r="3" spans="1:5" x14ac:dyDescent="0.2">
      <c r="A3" t="s">
        <v>16</v>
      </c>
      <c r="B3">
        <v>30622</v>
      </c>
      <c r="C3" s="2" t="s">
        <v>16</v>
      </c>
      <c r="D3" t="str">
        <f>_xlfn.XLOOKUP(A3, HOCOMOCOv11_core_annotation_HUM!$B:$B, HOCOMOCOv11_core_annotation_HUM!$D:$D, "Missing")</f>
        <v>A</v>
      </c>
      <c r="E3" t="str">
        <f>_xlfn.XLOOKUP(A3, HOCOMOCOv11_full_annotation_HUM!$B:$B, HOCOMOCOv11_full_annotation_HUM!$D:$D, "Missing")</f>
        <v>A</v>
      </c>
    </row>
    <row r="4" spans="1:5" x14ac:dyDescent="0.2">
      <c r="A4" t="s">
        <v>61</v>
      </c>
      <c r="B4">
        <v>2303</v>
      </c>
      <c r="C4" s="2" t="e">
        <v>#N/A</v>
      </c>
      <c r="D4" t="str">
        <f>_xlfn.XLOOKUP(A4, HOCOMOCOv11_core_annotation_HUM!$B:$B, HOCOMOCOv11_core_annotation_HUM!$D:$D, "Missing")</f>
        <v>A</v>
      </c>
      <c r="E4" t="str">
        <f>_xlfn.XLOOKUP(A4, HOCOMOCOv11_full_annotation_HUM!$B:$B, HOCOMOCOv11_full_annotation_HUM!$D:$D, "Missing")</f>
        <v>A</v>
      </c>
    </row>
    <row r="5" spans="1:5" x14ac:dyDescent="0.2">
      <c r="A5" t="s">
        <v>86</v>
      </c>
      <c r="B5">
        <v>1202</v>
      </c>
      <c r="C5" s="2" t="s">
        <v>86</v>
      </c>
      <c r="D5" t="str">
        <f>_xlfn.XLOOKUP(A5, HOCOMOCOv11_core_annotation_HUM!$B:$B, HOCOMOCOv11_core_annotation_HUM!$D:$D, "Missing")</f>
        <v>A</v>
      </c>
      <c r="E5" t="str">
        <f>_xlfn.XLOOKUP(A5, HOCOMOCOv11_full_annotation_HUM!$B:$B, HOCOMOCOv11_full_annotation_HUM!$D:$D, "Missing")</f>
        <v>A</v>
      </c>
    </row>
    <row r="6" spans="1:5" x14ac:dyDescent="0.2">
      <c r="A6" t="s">
        <v>45</v>
      </c>
      <c r="B6">
        <v>3968</v>
      </c>
      <c r="C6" s="2" t="s">
        <v>46</v>
      </c>
      <c r="D6" t="str">
        <f>_xlfn.XLOOKUP(A6, HOCOMOCOv11_core_annotation_HUM!$B:$B, HOCOMOCOv11_core_annotation_HUM!$D:$D, "Missing")</f>
        <v>A</v>
      </c>
      <c r="E6" t="str">
        <f>_xlfn.XLOOKUP(A6, HOCOMOCOv11_full_annotation_HUM!$B:$B, HOCOMOCOv11_full_annotation_HUM!$D:$D, "Missing")</f>
        <v>A</v>
      </c>
    </row>
    <row r="7" spans="1:5" x14ac:dyDescent="0.2">
      <c r="A7" t="s">
        <v>91</v>
      </c>
      <c r="B7">
        <v>1027</v>
      </c>
      <c r="C7" s="2" t="e">
        <v>#N/A</v>
      </c>
      <c r="D7" t="str">
        <f>_xlfn.XLOOKUP(A7, HOCOMOCOv11_core_annotation_HUM!$B:$B, HOCOMOCOv11_core_annotation_HUM!$D:$D, "Missing")</f>
        <v>A</v>
      </c>
      <c r="E7" t="str">
        <f>_xlfn.XLOOKUP(A7, HOCOMOCOv11_full_annotation_HUM!$B:$B, HOCOMOCOv11_full_annotation_HUM!$D:$D, "Missing")</f>
        <v>A</v>
      </c>
    </row>
    <row r="8" spans="1:5" x14ac:dyDescent="0.2">
      <c r="A8" t="s">
        <v>67</v>
      </c>
      <c r="B8">
        <v>1764</v>
      </c>
      <c r="C8" s="2" t="s">
        <v>68</v>
      </c>
      <c r="D8" t="str">
        <f>_xlfn.XLOOKUP(A8, HOCOMOCOv11_core_annotation_HUM!$B:$B, HOCOMOCOv11_core_annotation_HUM!$D:$D, "Missing")</f>
        <v>A</v>
      </c>
      <c r="E8" t="str">
        <f>_xlfn.XLOOKUP(A8, HOCOMOCOv11_full_annotation_HUM!$B:$B, HOCOMOCOv11_full_annotation_HUM!$D:$D, "Missing")</f>
        <v>A</v>
      </c>
    </row>
    <row r="9" spans="1:5" x14ac:dyDescent="0.2">
      <c r="A9" t="s">
        <v>10</v>
      </c>
      <c r="B9">
        <v>70292</v>
      </c>
      <c r="C9" s="2" t="e">
        <v>#N/A</v>
      </c>
      <c r="D9" t="str">
        <f>_xlfn.XLOOKUP(A9, HOCOMOCOv11_core_annotation_HUM!$B:$B, HOCOMOCOv11_core_annotation_HUM!$D:$D, "Missing")</f>
        <v>A</v>
      </c>
      <c r="E9" t="str">
        <f>_xlfn.XLOOKUP(A9, HOCOMOCOv11_full_annotation_HUM!$B:$B, HOCOMOCOv11_full_annotation_HUM!$D:$D, "Missing")</f>
        <v>A</v>
      </c>
    </row>
    <row r="10" spans="1:5" x14ac:dyDescent="0.2">
      <c r="A10" t="s">
        <v>76</v>
      </c>
      <c r="B10">
        <v>1416</v>
      </c>
      <c r="C10" s="2" t="s">
        <v>76</v>
      </c>
      <c r="D10" t="str">
        <f>_xlfn.XLOOKUP(A10, HOCOMOCOv11_core_annotation_HUM!$B:$B, HOCOMOCOv11_core_annotation_HUM!$D:$D, "Missing")</f>
        <v>A</v>
      </c>
      <c r="E10" t="str">
        <f>_xlfn.XLOOKUP(A10, HOCOMOCOv11_full_annotation_HUM!$B:$B, HOCOMOCOv11_full_annotation_HUM!$D:$D, "Missing")</f>
        <v>A</v>
      </c>
    </row>
    <row r="11" spans="1:5" x14ac:dyDescent="0.2">
      <c r="A11" t="s">
        <v>27</v>
      </c>
      <c r="B11">
        <v>7005</v>
      </c>
      <c r="C11" s="2" t="s">
        <v>27</v>
      </c>
      <c r="D11" t="str">
        <f>_xlfn.XLOOKUP(A11, HOCOMOCOv11_core_annotation_HUM!$B:$B, HOCOMOCOv11_core_annotation_HUM!$D:$D, "Missing")</f>
        <v>A</v>
      </c>
      <c r="E11" t="str">
        <f>_xlfn.XLOOKUP(A11, HOCOMOCOv11_full_annotation_HUM!$B:$B, HOCOMOCOv11_full_annotation_HUM!$D:$D, "Missing")</f>
        <v>A</v>
      </c>
    </row>
    <row r="12" spans="1:5" x14ac:dyDescent="0.2">
      <c r="A12" t="s">
        <v>36</v>
      </c>
      <c r="B12">
        <v>5138</v>
      </c>
      <c r="C12" s="2" t="e">
        <v>#N/A</v>
      </c>
      <c r="D12" t="str">
        <f>_xlfn.XLOOKUP(A12, HOCOMOCOv11_core_annotation_HUM!$B:$B, HOCOMOCOv11_core_annotation_HUM!$D:$D, "Missing")</f>
        <v>A</v>
      </c>
      <c r="E12" t="str">
        <f>_xlfn.XLOOKUP(A12, HOCOMOCOv11_full_annotation_HUM!$B:$B, HOCOMOCOv11_full_annotation_HUM!$D:$D, "Missing")</f>
        <v>A</v>
      </c>
    </row>
    <row r="13" spans="1:5" x14ac:dyDescent="0.2">
      <c r="A13" t="s">
        <v>62</v>
      </c>
      <c r="B13">
        <v>2123</v>
      </c>
      <c r="C13" s="2" t="e">
        <v>#N/A</v>
      </c>
      <c r="D13" t="str">
        <f>_xlfn.XLOOKUP(A13, HOCOMOCOv11_core_annotation_HUM!$B:$B, HOCOMOCOv11_core_annotation_HUM!$D:$D, "Missing")</f>
        <v>A</v>
      </c>
      <c r="E13" t="str">
        <f>_xlfn.XLOOKUP(A13, HOCOMOCOv11_full_annotation_HUM!$B:$B, HOCOMOCOv11_full_annotation_HUM!$D:$D, "Missing")</f>
        <v>A</v>
      </c>
    </row>
    <row r="14" spans="1:5" x14ac:dyDescent="0.2">
      <c r="A14" t="s">
        <v>70</v>
      </c>
      <c r="B14">
        <v>1736</v>
      </c>
      <c r="C14" s="2" t="s">
        <v>70</v>
      </c>
      <c r="D14" t="str">
        <f>_xlfn.XLOOKUP(A14, HOCOMOCOv11_core_annotation_HUM!$B:$B, HOCOMOCOv11_core_annotation_HUM!$D:$D, "Missing")</f>
        <v>A</v>
      </c>
      <c r="E14" t="str">
        <f>_xlfn.XLOOKUP(A14, HOCOMOCOv11_full_annotation_HUM!$B:$B, HOCOMOCOv11_full_annotation_HUM!$D:$D, "Missing")</f>
        <v>A</v>
      </c>
    </row>
    <row r="15" spans="1:5" x14ac:dyDescent="0.2">
      <c r="A15" t="s">
        <v>89</v>
      </c>
      <c r="B15">
        <v>1046</v>
      </c>
      <c r="C15" s="2" t="e">
        <v>#N/A</v>
      </c>
      <c r="D15" t="str">
        <f>_xlfn.XLOOKUP(A15, HOCOMOCOv11_core_annotation_HUM!$B:$B, HOCOMOCOv11_core_annotation_HUM!$D:$D, "Missing")</f>
        <v>B</v>
      </c>
      <c r="E15" t="str">
        <f>_xlfn.XLOOKUP(A15, HOCOMOCOv11_full_annotation_HUM!$B:$B, HOCOMOCOv11_full_annotation_HUM!$D:$D, "Missing")</f>
        <v>B</v>
      </c>
    </row>
    <row r="16" spans="1:5" x14ac:dyDescent="0.2">
      <c r="A16" t="s">
        <v>71</v>
      </c>
      <c r="B16">
        <v>1637</v>
      </c>
      <c r="C16" s="2" t="e">
        <v>#N/A</v>
      </c>
      <c r="D16" t="str">
        <f>_xlfn.XLOOKUP(A16, HOCOMOCOv11_core_annotation_HUM!$B:$B, HOCOMOCOv11_core_annotation_HUM!$D:$D, "Missing")</f>
        <v>B</v>
      </c>
      <c r="E16" t="str">
        <f>_xlfn.XLOOKUP(A16, HOCOMOCOv11_full_annotation_HUM!$B:$B, HOCOMOCOv11_full_annotation_HUM!$D:$D, "Missing")</f>
        <v>B</v>
      </c>
    </row>
    <row r="17" spans="1:5" x14ac:dyDescent="0.2">
      <c r="A17" t="s">
        <v>11</v>
      </c>
      <c r="B17">
        <v>64652</v>
      </c>
      <c r="C17" s="2" t="s">
        <v>12</v>
      </c>
      <c r="D17" t="str">
        <f>_xlfn.XLOOKUP(A17, HOCOMOCOv11_core_annotation_HUM!$B:$B, HOCOMOCOv11_core_annotation_HUM!$D:$D, "Missing")</f>
        <v>B</v>
      </c>
      <c r="E17" t="str">
        <f>_xlfn.XLOOKUP(A17, HOCOMOCOv11_full_annotation_HUM!$B:$B, HOCOMOCOv11_full_annotation_HUM!$D:$D, "Missing")</f>
        <v>B</v>
      </c>
    </row>
    <row r="18" spans="1:5" x14ac:dyDescent="0.2">
      <c r="A18" t="s">
        <v>85</v>
      </c>
      <c r="B18">
        <v>1211</v>
      </c>
      <c r="C18" s="2" t="e">
        <v>#N/A</v>
      </c>
      <c r="D18" t="str">
        <f>_xlfn.XLOOKUP(A18, HOCOMOCOv11_core_annotation_HUM!$B:$B, HOCOMOCOv11_core_annotation_HUM!$D:$D, "Missing")</f>
        <v>B</v>
      </c>
      <c r="E18" t="str">
        <f>_xlfn.XLOOKUP(A18, HOCOMOCOv11_full_annotation_HUM!$B:$B, HOCOMOCOv11_full_annotation_HUM!$D:$D, "Missing")</f>
        <v>B</v>
      </c>
    </row>
    <row r="19" spans="1:5" x14ac:dyDescent="0.2">
      <c r="A19" t="s">
        <v>39</v>
      </c>
      <c r="B19">
        <v>4760</v>
      </c>
      <c r="C19" s="2" t="e">
        <v>#N/A</v>
      </c>
      <c r="D19" t="str">
        <f>_xlfn.XLOOKUP(A19, HOCOMOCOv11_core_annotation_HUM!$B:$B, HOCOMOCOv11_core_annotation_HUM!$D:$D, "Missing")</f>
        <v>C</v>
      </c>
      <c r="E19" t="str">
        <f>_xlfn.XLOOKUP(A19, HOCOMOCOv11_full_annotation_HUM!$B:$B, HOCOMOCOv11_full_annotation_HUM!$D:$D, "Missing")</f>
        <v>C</v>
      </c>
    </row>
    <row r="20" spans="1:5" x14ac:dyDescent="0.2">
      <c r="A20" t="s">
        <v>42</v>
      </c>
      <c r="B20">
        <v>4391</v>
      </c>
      <c r="C20" s="2" t="e">
        <v>#N/A</v>
      </c>
      <c r="D20" t="str">
        <f>_xlfn.XLOOKUP(A20, HOCOMOCOv11_core_annotation_HUM!$B:$B, HOCOMOCOv11_core_annotation_HUM!$D:$D, "Missing")</f>
        <v>C</v>
      </c>
      <c r="E20" t="str">
        <f>_xlfn.XLOOKUP(A20, HOCOMOCOv11_full_annotation_HUM!$B:$B, HOCOMOCOv11_full_annotation_HUM!$D:$D, "Missing")</f>
        <v>C</v>
      </c>
    </row>
    <row r="21" spans="1:5" x14ac:dyDescent="0.2">
      <c r="A21" t="s">
        <v>28</v>
      </c>
      <c r="B21">
        <v>6476</v>
      </c>
      <c r="C21" s="2" t="e">
        <v>#N/A</v>
      </c>
      <c r="D21" t="str">
        <f>_xlfn.XLOOKUP(A21, HOCOMOCOv11_core_annotation_HUM!$B:$B, HOCOMOCOv11_core_annotation_HUM!$D:$D, "Missing")</f>
        <v>C</v>
      </c>
      <c r="E21" t="str">
        <f>_xlfn.XLOOKUP(A21, HOCOMOCOv11_full_annotation_HUM!$B:$B, HOCOMOCOv11_full_annotation_HUM!$D:$D, "Missing")</f>
        <v>C</v>
      </c>
    </row>
    <row r="22" spans="1:5" x14ac:dyDescent="0.2">
      <c r="A22" t="s">
        <v>30</v>
      </c>
      <c r="B22">
        <v>5837</v>
      </c>
      <c r="C22" s="2" t="s">
        <v>30</v>
      </c>
      <c r="D22" t="str">
        <f>_xlfn.XLOOKUP(A22, HOCOMOCOv11_core_annotation_HUM!$B:$B, HOCOMOCOv11_core_annotation_HUM!$D:$D, "Missing")</f>
        <v>C</v>
      </c>
      <c r="E22" t="str">
        <f>_xlfn.XLOOKUP(A22, HOCOMOCOv11_full_annotation_HUM!$B:$B, HOCOMOCOv11_full_annotation_HUM!$D:$D, "Missing")</f>
        <v>C</v>
      </c>
    </row>
    <row r="23" spans="1:5" x14ac:dyDescent="0.2">
      <c r="A23" t="s">
        <v>48</v>
      </c>
      <c r="B23">
        <v>3745</v>
      </c>
      <c r="C23" s="2" t="e">
        <v>#N/A</v>
      </c>
      <c r="D23" t="str">
        <f>_xlfn.XLOOKUP(A23, HOCOMOCOv11_core_annotation_HUM!$B:$B, HOCOMOCOv11_core_annotation_HUM!$D:$D, "Missing")</f>
        <v>C</v>
      </c>
      <c r="E23" t="str">
        <f>_xlfn.XLOOKUP(A23, HOCOMOCOv11_full_annotation_HUM!$B:$B, HOCOMOCOv11_full_annotation_HUM!$D:$D, "Missing")</f>
        <v>C</v>
      </c>
    </row>
    <row r="24" spans="1:5" x14ac:dyDescent="0.2">
      <c r="A24" t="s">
        <v>52</v>
      </c>
      <c r="B24">
        <v>3331</v>
      </c>
      <c r="C24" s="2" t="s">
        <v>53</v>
      </c>
      <c r="D24" t="str">
        <f>_xlfn.XLOOKUP(A24, HOCOMOCOv11_core_annotation_HUM!$B:$B, HOCOMOCOv11_core_annotation_HUM!$D:$D, "Missing")</f>
        <v>C</v>
      </c>
      <c r="E24" t="str">
        <f>_xlfn.XLOOKUP(A24, HOCOMOCOv11_full_annotation_HUM!$B:$B, HOCOMOCOv11_full_annotation_HUM!$D:$D, "Missing")</f>
        <v>C</v>
      </c>
    </row>
    <row r="25" spans="1:5" x14ac:dyDescent="0.2">
      <c r="A25" t="s">
        <v>64</v>
      </c>
      <c r="B25">
        <v>1980</v>
      </c>
      <c r="C25" s="2" t="e">
        <v>#N/A</v>
      </c>
      <c r="D25" t="str">
        <f>_xlfn.XLOOKUP(A25, HOCOMOCOv11_core_annotation_HUM!$B:$B, HOCOMOCOv11_core_annotation_HUM!$D:$D, "Missing")</f>
        <v>C</v>
      </c>
      <c r="E25" t="str">
        <f>_xlfn.XLOOKUP(A25, HOCOMOCOv11_full_annotation_HUM!$B:$B, HOCOMOCOv11_full_annotation_HUM!$D:$D, "Missing")</f>
        <v>C</v>
      </c>
    </row>
    <row r="26" spans="1:5" x14ac:dyDescent="0.2">
      <c r="A26" t="s">
        <v>19</v>
      </c>
      <c r="B26">
        <v>23262</v>
      </c>
      <c r="C26" s="2" t="e">
        <v>#N/A</v>
      </c>
      <c r="D26" t="str">
        <f>_xlfn.XLOOKUP(A26, HOCOMOCOv11_core_annotation_HUM!$B:$B, HOCOMOCOv11_core_annotation_HUM!$D:$D, "Missing")</f>
        <v>Missing</v>
      </c>
      <c r="E26" t="str">
        <f>_xlfn.XLOOKUP(A26, HOCOMOCOv11_full_annotation_HUM!$B:$B, HOCOMOCOv11_full_annotation_HUM!$D:$D, "Missing")</f>
        <v>D</v>
      </c>
    </row>
    <row r="27" spans="1:5" x14ac:dyDescent="0.2">
      <c r="A27" t="s">
        <v>20</v>
      </c>
      <c r="B27">
        <v>22129</v>
      </c>
      <c r="C27" s="2" t="e">
        <v>#N/A</v>
      </c>
      <c r="D27" t="str">
        <f>_xlfn.XLOOKUP(A27, HOCOMOCOv11_core_annotation_HUM!$B:$B, HOCOMOCOv11_core_annotation_HUM!$D:$D, "Missing")</f>
        <v>Missing</v>
      </c>
      <c r="E27" t="str">
        <f>_xlfn.XLOOKUP(A27, HOCOMOCOv11_full_annotation_HUM!$B:$B, HOCOMOCOv11_full_annotation_HUM!$D:$D, "Missing")</f>
        <v>D</v>
      </c>
    </row>
    <row r="28" spans="1:5" x14ac:dyDescent="0.2">
      <c r="A28" t="s">
        <v>23</v>
      </c>
      <c r="B28">
        <v>12061</v>
      </c>
      <c r="C28" s="2" t="e">
        <v>#N/A</v>
      </c>
      <c r="D28" t="str">
        <f>_xlfn.XLOOKUP(A28, HOCOMOCOv11_core_annotation_HUM!$B:$B, HOCOMOCOv11_core_annotation_HUM!$D:$D, "Missing")</f>
        <v>Missing</v>
      </c>
      <c r="E28" t="str">
        <f>_xlfn.XLOOKUP(A28, HOCOMOCOv11_full_annotation_HUM!$B:$B, HOCOMOCOv11_full_annotation_HUM!$D:$D, "Missing")</f>
        <v>D</v>
      </c>
    </row>
    <row r="29" spans="1:5" x14ac:dyDescent="0.2">
      <c r="A29" t="s">
        <v>32</v>
      </c>
      <c r="B29">
        <v>5703</v>
      </c>
      <c r="C29" s="2" t="e">
        <v>#N/A</v>
      </c>
      <c r="D29" t="str">
        <f>_xlfn.XLOOKUP(A29, HOCOMOCOv11_core_annotation_HUM!$B:$B, HOCOMOCOv11_core_annotation_HUM!$D:$D, "Missing")</f>
        <v>Missing</v>
      </c>
      <c r="E29" t="str">
        <f>_xlfn.XLOOKUP(A29, HOCOMOCOv11_full_annotation_HUM!$B:$B, HOCOMOCOv11_full_annotation_HUM!$D:$D, "Missing")</f>
        <v>D</v>
      </c>
    </row>
    <row r="30" spans="1:5" x14ac:dyDescent="0.2">
      <c r="A30" t="s">
        <v>37</v>
      </c>
      <c r="B30">
        <v>4896</v>
      </c>
      <c r="C30" s="2" t="s">
        <v>38</v>
      </c>
      <c r="D30" t="str">
        <f>_xlfn.XLOOKUP(A30, HOCOMOCOv11_core_annotation_HUM!$B:$B, HOCOMOCOv11_core_annotation_HUM!$D:$D, "Missing")</f>
        <v>Missing</v>
      </c>
      <c r="E30" t="str">
        <f>_xlfn.XLOOKUP(A30, HOCOMOCOv11_full_annotation_HUM!$B:$B, HOCOMOCOv11_full_annotation_HUM!$D:$D, "Missing")</f>
        <v>D</v>
      </c>
    </row>
    <row r="31" spans="1:5" x14ac:dyDescent="0.2">
      <c r="A31" t="s">
        <v>43</v>
      </c>
      <c r="B31">
        <v>4325</v>
      </c>
      <c r="C31" s="2" t="e">
        <v>#N/A</v>
      </c>
      <c r="D31" t="str">
        <f>_xlfn.XLOOKUP(A31, HOCOMOCOv11_core_annotation_HUM!$B:$B, HOCOMOCOv11_core_annotation_HUM!$D:$D, "Missing")</f>
        <v>Missing</v>
      </c>
      <c r="E31" t="str">
        <f>_xlfn.XLOOKUP(A31, HOCOMOCOv11_full_annotation_HUM!$B:$B, HOCOMOCOv11_full_annotation_HUM!$D:$D, "Missing")</f>
        <v>D</v>
      </c>
    </row>
    <row r="32" spans="1:5" x14ac:dyDescent="0.2">
      <c r="A32" t="s">
        <v>55</v>
      </c>
      <c r="B32">
        <v>2959</v>
      </c>
      <c r="C32" s="2" t="e">
        <v>#N/A</v>
      </c>
      <c r="D32" t="str">
        <f>_xlfn.XLOOKUP(A32, HOCOMOCOv11_core_annotation_HUM!$B:$B, HOCOMOCOv11_core_annotation_HUM!$D:$D, "Missing")</f>
        <v>Missing</v>
      </c>
      <c r="E32" t="str">
        <f>_xlfn.XLOOKUP(A32, HOCOMOCOv11_full_annotation_HUM!$B:$B, HOCOMOCOv11_full_annotation_HUM!$D:$D, "Missing")</f>
        <v>D</v>
      </c>
    </row>
    <row r="33" spans="1:5" x14ac:dyDescent="0.2">
      <c r="A33" t="s">
        <v>69</v>
      </c>
      <c r="B33">
        <v>1758</v>
      </c>
      <c r="C33" s="2" t="e">
        <v>#N/A</v>
      </c>
      <c r="D33" t="str">
        <f>_xlfn.XLOOKUP(A33, HOCOMOCOv11_core_annotation_HUM!$B:$B, HOCOMOCOv11_core_annotation_HUM!$D:$D, "Missing")</f>
        <v>Missing</v>
      </c>
      <c r="E33" t="str">
        <f>_xlfn.XLOOKUP(A33, HOCOMOCOv11_full_annotation_HUM!$B:$B, HOCOMOCOv11_full_annotation_HUM!$D:$D, "Missing")</f>
        <v>D</v>
      </c>
    </row>
    <row r="34" spans="1:5" x14ac:dyDescent="0.2">
      <c r="A34" t="s">
        <v>78</v>
      </c>
      <c r="B34">
        <v>1277</v>
      </c>
      <c r="C34" s="2" t="e">
        <v>#N/A</v>
      </c>
      <c r="D34" t="str">
        <f>_xlfn.XLOOKUP(A34, HOCOMOCOv11_core_annotation_HUM!$B:$B, HOCOMOCOv11_core_annotation_HUM!$D:$D, "Missing")</f>
        <v>Missing</v>
      </c>
      <c r="E34" t="str">
        <f>_xlfn.XLOOKUP(A34, HOCOMOCOv11_full_annotation_HUM!$B:$B, HOCOMOCOv11_full_annotation_HUM!$D:$D, "Missing")</f>
        <v>D</v>
      </c>
    </row>
    <row r="35" spans="1:5" x14ac:dyDescent="0.2">
      <c r="A35" t="s">
        <v>84</v>
      </c>
      <c r="B35">
        <v>1224</v>
      </c>
      <c r="C35" s="2" t="e">
        <v>#N/A</v>
      </c>
      <c r="D35" t="str">
        <f>_xlfn.XLOOKUP(A35, HOCOMOCOv11_core_annotation_HUM!$B:$B, HOCOMOCOv11_core_annotation_HUM!$D:$D, "Missing")</f>
        <v>Missing</v>
      </c>
      <c r="E35" t="str">
        <f>_xlfn.XLOOKUP(A35, HOCOMOCOv11_full_annotation_HUM!$B:$B, HOCOMOCOv11_full_annotation_HUM!$D:$D, "Missing")</f>
        <v>D</v>
      </c>
    </row>
    <row r="36" spans="1:5" x14ac:dyDescent="0.2">
      <c r="A36" t="s">
        <v>8</v>
      </c>
      <c r="B36">
        <v>181396</v>
      </c>
      <c r="C36" s="2" t="e">
        <v>#N/A</v>
      </c>
      <c r="D36" t="str">
        <f>_xlfn.XLOOKUP(A36, HOCOMOCOv11_core_annotation_HUM!$B:$B, HOCOMOCOv11_core_annotation_HUM!$D:$D, "Missing")</f>
        <v>Missing</v>
      </c>
      <c r="E36" t="str">
        <f>_xlfn.XLOOKUP(A36, HOCOMOCOv11_full_annotation_HUM!$B:$B, HOCOMOCOv11_full_annotation_HUM!$D:$D, "Missing")</f>
        <v>Missing</v>
      </c>
    </row>
    <row r="37" spans="1:5" x14ac:dyDescent="0.2">
      <c r="A37" t="s">
        <v>13</v>
      </c>
      <c r="B37">
        <v>50752</v>
      </c>
      <c r="C37" s="2" t="e">
        <v>#N/A</v>
      </c>
      <c r="D37" t="str">
        <f>_xlfn.XLOOKUP(A37, HOCOMOCOv11_core_annotation_HUM!$B:$B, HOCOMOCOv11_core_annotation_HUM!$D:$D, "Missing")</f>
        <v>Missing</v>
      </c>
      <c r="E37" t="str">
        <f>_xlfn.XLOOKUP(A37, HOCOMOCOv11_full_annotation_HUM!$B:$B, HOCOMOCOv11_full_annotation_HUM!$D:$D, "Missing")</f>
        <v>Missing</v>
      </c>
    </row>
    <row r="38" spans="1:5" x14ac:dyDescent="0.2">
      <c r="A38" t="s">
        <v>14</v>
      </c>
      <c r="B38">
        <v>39619</v>
      </c>
      <c r="C38" s="2" t="e">
        <v>#N/A</v>
      </c>
      <c r="D38" t="str">
        <f>_xlfn.XLOOKUP(A38, HOCOMOCOv11_core_annotation_HUM!$B:$B, HOCOMOCOv11_core_annotation_HUM!$D:$D, "Missing")</f>
        <v>Missing</v>
      </c>
      <c r="E38" t="str">
        <f>_xlfn.XLOOKUP(A38, HOCOMOCOv11_full_annotation_HUM!$B:$B, HOCOMOCOv11_full_annotation_HUM!$D:$D, "Missing")</f>
        <v>Missing</v>
      </c>
    </row>
    <row r="39" spans="1:5" x14ac:dyDescent="0.2">
      <c r="A39" t="s">
        <v>15</v>
      </c>
      <c r="B39">
        <v>30870</v>
      </c>
      <c r="C39" s="2" t="e">
        <v>#N/A</v>
      </c>
      <c r="D39" t="str">
        <f>_xlfn.XLOOKUP(A39, HOCOMOCOv11_core_annotation_HUM!$B:$B, HOCOMOCOv11_core_annotation_HUM!$D:$D, "Missing")</f>
        <v>Missing</v>
      </c>
      <c r="E39" t="str">
        <f>_xlfn.XLOOKUP(A39, HOCOMOCOv11_full_annotation_HUM!$B:$B, HOCOMOCOv11_full_annotation_HUM!$D:$D, "Missing")</f>
        <v>Missing</v>
      </c>
    </row>
    <row r="40" spans="1:5" x14ac:dyDescent="0.2">
      <c r="A40" t="s">
        <v>17</v>
      </c>
      <c r="B40">
        <v>30095</v>
      </c>
      <c r="C40" s="2" t="e">
        <v>#N/A</v>
      </c>
      <c r="D40" t="str">
        <f>_xlfn.XLOOKUP(A40, HOCOMOCOv11_core_annotation_HUM!$B:$B, HOCOMOCOv11_core_annotation_HUM!$D:$D, "Missing")</f>
        <v>Missing</v>
      </c>
      <c r="E40" t="str">
        <f>_xlfn.XLOOKUP(A40, HOCOMOCOv11_full_annotation_HUM!$B:$B, HOCOMOCOv11_full_annotation_HUM!$D:$D, "Missing")</f>
        <v>Missing</v>
      </c>
    </row>
    <row r="41" spans="1:5" x14ac:dyDescent="0.2">
      <c r="A41" t="s">
        <v>18</v>
      </c>
      <c r="B41">
        <v>28330</v>
      </c>
      <c r="C41" s="2" t="e">
        <v>#N/A</v>
      </c>
      <c r="D41" t="str">
        <f>_xlfn.XLOOKUP(A41, HOCOMOCOv11_core_annotation_HUM!$B:$B, HOCOMOCOv11_core_annotation_HUM!$D:$D, "Missing")</f>
        <v>Missing</v>
      </c>
      <c r="E41" t="str">
        <f>_xlfn.XLOOKUP(A41, HOCOMOCOv11_full_annotation_HUM!$B:$B, HOCOMOCOv11_full_annotation_HUM!$D:$D, "Missing")</f>
        <v>Missing</v>
      </c>
    </row>
    <row r="42" spans="1:5" x14ac:dyDescent="0.2">
      <c r="A42" t="s">
        <v>21</v>
      </c>
      <c r="B42">
        <v>21216</v>
      </c>
      <c r="C42" s="2" t="e">
        <v>#N/A</v>
      </c>
      <c r="D42" t="str">
        <f>_xlfn.XLOOKUP(A42, HOCOMOCOv11_core_annotation_HUM!$B:$B, HOCOMOCOv11_core_annotation_HUM!$D:$D, "Missing")</f>
        <v>Missing</v>
      </c>
      <c r="E42" t="str">
        <f>_xlfn.XLOOKUP(A42, HOCOMOCOv11_full_annotation_HUM!$B:$B, HOCOMOCOv11_full_annotation_HUM!$D:$D, "Missing")</f>
        <v>Missing</v>
      </c>
    </row>
    <row r="43" spans="1:5" x14ac:dyDescent="0.2">
      <c r="A43" t="s">
        <v>22</v>
      </c>
      <c r="B43">
        <v>16883</v>
      </c>
      <c r="C43" s="2" t="e">
        <v>#N/A</v>
      </c>
      <c r="D43" t="str">
        <f>_xlfn.XLOOKUP(A43, HOCOMOCOv11_core_annotation_HUM!$B:$B, HOCOMOCOv11_core_annotation_HUM!$D:$D, "Missing")</f>
        <v>Missing</v>
      </c>
      <c r="E43" t="str">
        <f>_xlfn.XLOOKUP(A43, HOCOMOCOv11_full_annotation_HUM!$B:$B, HOCOMOCOv11_full_annotation_HUM!$D:$D, "Missing")</f>
        <v>Missing</v>
      </c>
    </row>
    <row r="44" spans="1:5" x14ac:dyDescent="0.2">
      <c r="A44" t="s">
        <v>25</v>
      </c>
      <c r="B44">
        <v>9654</v>
      </c>
      <c r="C44" s="2" t="e">
        <v>#N/A</v>
      </c>
      <c r="D44" t="str">
        <f>_xlfn.XLOOKUP(A44, HOCOMOCOv11_core_annotation_HUM!$B:$B, HOCOMOCOv11_core_annotation_HUM!$D:$D, "Missing")</f>
        <v>Missing</v>
      </c>
      <c r="E44" t="str">
        <f>_xlfn.XLOOKUP(A44, HOCOMOCOv11_full_annotation_HUM!$B:$B, HOCOMOCOv11_full_annotation_HUM!$D:$D, "Missing")</f>
        <v>Missing</v>
      </c>
    </row>
    <row r="45" spans="1:5" x14ac:dyDescent="0.2">
      <c r="A45" t="s">
        <v>26</v>
      </c>
      <c r="B45">
        <v>8746</v>
      </c>
      <c r="C45" s="2" t="e">
        <v>#N/A</v>
      </c>
      <c r="D45" t="str">
        <f>_xlfn.XLOOKUP(A45, HOCOMOCOv11_core_annotation_HUM!$B:$B, HOCOMOCOv11_core_annotation_HUM!$D:$D, "Missing")</f>
        <v>Missing</v>
      </c>
      <c r="E45" t="str">
        <f>_xlfn.XLOOKUP(A45, HOCOMOCOv11_full_annotation_HUM!$B:$B, HOCOMOCOv11_full_annotation_HUM!$D:$D, "Missing")</f>
        <v>Missing</v>
      </c>
    </row>
    <row r="46" spans="1:5" x14ac:dyDescent="0.2">
      <c r="A46" t="s">
        <v>29</v>
      </c>
      <c r="B46">
        <v>5903</v>
      </c>
      <c r="C46" s="2" t="e">
        <v>#N/A</v>
      </c>
      <c r="D46" t="str">
        <f>_xlfn.XLOOKUP(A46, HOCOMOCOv11_core_annotation_HUM!$B:$B, HOCOMOCOv11_core_annotation_HUM!$D:$D, "Missing")</f>
        <v>Missing</v>
      </c>
      <c r="E46" t="str">
        <f>_xlfn.XLOOKUP(A46, HOCOMOCOv11_full_annotation_HUM!$B:$B, HOCOMOCOv11_full_annotation_HUM!$D:$D, "Missing")</f>
        <v>Missing</v>
      </c>
    </row>
    <row r="47" spans="1:5" x14ac:dyDescent="0.2">
      <c r="A47" t="s">
        <v>31</v>
      </c>
      <c r="B47">
        <v>5824</v>
      </c>
      <c r="C47" s="2" t="e">
        <v>#N/A</v>
      </c>
      <c r="D47" t="str">
        <f>_xlfn.XLOOKUP(A47, HOCOMOCOv11_core_annotation_HUM!$B:$B, HOCOMOCOv11_core_annotation_HUM!$D:$D, "Missing")</f>
        <v>Missing</v>
      </c>
      <c r="E47" t="str">
        <f>_xlfn.XLOOKUP(A47, HOCOMOCOv11_full_annotation_HUM!$B:$B, HOCOMOCOv11_full_annotation_HUM!$D:$D, "Missing")</f>
        <v>Missing</v>
      </c>
    </row>
    <row r="48" spans="1:5" x14ac:dyDescent="0.2">
      <c r="A48" t="s">
        <v>33</v>
      </c>
      <c r="B48">
        <v>5661</v>
      </c>
      <c r="C48" s="2" t="e">
        <v>#N/A</v>
      </c>
      <c r="D48" t="str">
        <f>_xlfn.XLOOKUP(A48, HOCOMOCOv11_core_annotation_HUM!$B:$B, HOCOMOCOv11_core_annotation_HUM!$D:$D, "Missing")</f>
        <v>Missing</v>
      </c>
      <c r="E48" t="str">
        <f>_xlfn.XLOOKUP(A48, HOCOMOCOv11_full_annotation_HUM!$B:$B, HOCOMOCOv11_full_annotation_HUM!$D:$D, "Missing")</f>
        <v>Missing</v>
      </c>
    </row>
    <row r="49" spans="1:5" x14ac:dyDescent="0.2">
      <c r="A49" t="s">
        <v>34</v>
      </c>
      <c r="B49">
        <v>5319</v>
      </c>
      <c r="C49" s="2" t="e">
        <v>#N/A</v>
      </c>
      <c r="D49" t="str">
        <f>_xlfn.XLOOKUP(A49, HOCOMOCOv11_core_annotation_HUM!$B:$B, HOCOMOCOv11_core_annotation_HUM!$D:$D, "Missing")</f>
        <v>Missing</v>
      </c>
      <c r="E49" t="str">
        <f>_xlfn.XLOOKUP(A49, HOCOMOCOv11_full_annotation_HUM!$B:$B, HOCOMOCOv11_full_annotation_HUM!$D:$D, "Missing")</f>
        <v>Missing</v>
      </c>
    </row>
    <row r="50" spans="1:5" x14ac:dyDescent="0.2">
      <c r="A50" t="s">
        <v>35</v>
      </c>
      <c r="B50">
        <v>5185</v>
      </c>
      <c r="C50" s="2" t="e">
        <v>#N/A</v>
      </c>
      <c r="D50" t="str">
        <f>_xlfn.XLOOKUP(A50, HOCOMOCOv11_core_annotation_HUM!$B:$B, HOCOMOCOv11_core_annotation_HUM!$D:$D, "Missing")</f>
        <v>Missing</v>
      </c>
      <c r="E50" t="str">
        <f>_xlfn.XLOOKUP(A50, HOCOMOCOv11_full_annotation_HUM!$B:$B, HOCOMOCOv11_full_annotation_HUM!$D:$D, "Missing")</f>
        <v>Missing</v>
      </c>
    </row>
    <row r="51" spans="1:5" x14ac:dyDescent="0.2">
      <c r="A51" t="s">
        <v>40</v>
      </c>
      <c r="B51">
        <v>4749</v>
      </c>
      <c r="C51" s="2" t="e">
        <v>#N/A</v>
      </c>
      <c r="D51" t="str">
        <f>_xlfn.XLOOKUP(A51, HOCOMOCOv11_core_annotation_HUM!$B:$B, HOCOMOCOv11_core_annotation_HUM!$D:$D, "Missing")</f>
        <v>Missing</v>
      </c>
      <c r="E51" t="str">
        <f>_xlfn.XLOOKUP(A51, HOCOMOCOv11_full_annotation_HUM!$B:$B, HOCOMOCOv11_full_annotation_HUM!$D:$D, "Missing")</f>
        <v>Missing</v>
      </c>
    </row>
    <row r="52" spans="1:5" x14ac:dyDescent="0.2">
      <c r="A52" t="s">
        <v>41</v>
      </c>
      <c r="B52">
        <v>4492</v>
      </c>
      <c r="C52" s="2" t="e">
        <v>#N/A</v>
      </c>
      <c r="D52" t="str">
        <f>_xlfn.XLOOKUP(A52, HOCOMOCOv11_core_annotation_HUM!$B:$B, HOCOMOCOv11_core_annotation_HUM!$D:$D, "Missing")</f>
        <v>Missing</v>
      </c>
      <c r="E52" t="str">
        <f>_xlfn.XLOOKUP(A52, HOCOMOCOv11_full_annotation_HUM!$B:$B, HOCOMOCOv11_full_annotation_HUM!$D:$D, "Missing")</f>
        <v>Missing</v>
      </c>
    </row>
    <row r="53" spans="1:5" x14ac:dyDescent="0.2">
      <c r="A53" t="s">
        <v>44</v>
      </c>
      <c r="B53">
        <v>3970</v>
      </c>
      <c r="C53" s="2" t="e">
        <v>#N/A</v>
      </c>
      <c r="D53" t="str">
        <f>_xlfn.XLOOKUP(A53, HOCOMOCOv11_core_annotation_HUM!$B:$B, HOCOMOCOv11_core_annotation_HUM!$D:$D, "Missing")</f>
        <v>Missing</v>
      </c>
      <c r="E53" t="str">
        <f>_xlfn.XLOOKUP(A53, HOCOMOCOv11_full_annotation_HUM!$B:$B, HOCOMOCOv11_full_annotation_HUM!$D:$D, "Missing")</f>
        <v>Missing</v>
      </c>
    </row>
    <row r="54" spans="1:5" x14ac:dyDescent="0.2">
      <c r="A54" t="s">
        <v>47</v>
      </c>
      <c r="B54">
        <v>3859</v>
      </c>
      <c r="C54" s="2" t="e">
        <v>#N/A</v>
      </c>
      <c r="D54" t="str">
        <f>_xlfn.XLOOKUP(A54, HOCOMOCOv11_core_annotation_HUM!$B:$B, HOCOMOCOv11_core_annotation_HUM!$D:$D, "Missing")</f>
        <v>Missing</v>
      </c>
      <c r="E54" t="str">
        <f>_xlfn.XLOOKUP(A54, HOCOMOCOv11_full_annotation_HUM!$B:$B, HOCOMOCOv11_full_annotation_HUM!$D:$D, "Missing")</f>
        <v>Missing</v>
      </c>
    </row>
    <row r="55" spans="1:5" x14ac:dyDescent="0.2">
      <c r="A55" t="s">
        <v>49</v>
      </c>
      <c r="B55">
        <v>3599</v>
      </c>
      <c r="C55" s="2" t="e">
        <v>#N/A</v>
      </c>
      <c r="D55" t="str">
        <f>_xlfn.XLOOKUP(A55, HOCOMOCOv11_core_annotation_HUM!$B:$B, HOCOMOCOv11_core_annotation_HUM!$D:$D, "Missing")</f>
        <v>Missing</v>
      </c>
      <c r="E55" t="str">
        <f>_xlfn.XLOOKUP(A55, HOCOMOCOv11_full_annotation_HUM!$B:$B, HOCOMOCOv11_full_annotation_HUM!$D:$D, "Missing")</f>
        <v>Missing</v>
      </c>
    </row>
    <row r="56" spans="1:5" x14ac:dyDescent="0.2">
      <c r="A56" t="s">
        <v>50</v>
      </c>
      <c r="B56">
        <v>3449</v>
      </c>
      <c r="C56" s="2" t="e">
        <v>#N/A</v>
      </c>
      <c r="D56" t="str">
        <f>_xlfn.XLOOKUP(A56, HOCOMOCOv11_core_annotation_HUM!$B:$B, HOCOMOCOv11_core_annotation_HUM!$D:$D, "Missing")</f>
        <v>Missing</v>
      </c>
      <c r="E56" t="str">
        <f>_xlfn.XLOOKUP(A56, HOCOMOCOv11_full_annotation_HUM!$B:$B, HOCOMOCOv11_full_annotation_HUM!$D:$D, "Missing")</f>
        <v>Missing</v>
      </c>
    </row>
    <row r="57" spans="1:5" x14ac:dyDescent="0.2">
      <c r="A57" t="s">
        <v>51</v>
      </c>
      <c r="B57">
        <v>3400</v>
      </c>
      <c r="C57" s="2" t="e">
        <v>#N/A</v>
      </c>
      <c r="D57" t="str">
        <f>_xlfn.XLOOKUP(A57, HOCOMOCOv11_core_annotation_HUM!$B:$B, HOCOMOCOv11_core_annotation_HUM!$D:$D, "Missing")</f>
        <v>Missing</v>
      </c>
      <c r="E57" t="str">
        <f>_xlfn.XLOOKUP(A57, HOCOMOCOv11_full_annotation_HUM!$B:$B, HOCOMOCOv11_full_annotation_HUM!$D:$D, "Missing")</f>
        <v>Missing</v>
      </c>
    </row>
    <row r="58" spans="1:5" x14ac:dyDescent="0.2">
      <c r="A58" t="s">
        <v>54</v>
      </c>
      <c r="B58">
        <v>3099</v>
      </c>
      <c r="C58" s="2" t="e">
        <v>#N/A</v>
      </c>
      <c r="D58" t="str">
        <f>_xlfn.XLOOKUP(A58, HOCOMOCOv11_core_annotation_HUM!$B:$B, HOCOMOCOv11_core_annotation_HUM!$D:$D, "Missing")</f>
        <v>Missing</v>
      </c>
      <c r="E58" t="str">
        <f>_xlfn.XLOOKUP(A58, HOCOMOCOv11_full_annotation_HUM!$B:$B, HOCOMOCOv11_full_annotation_HUM!$D:$D, "Missing")</f>
        <v>Missing</v>
      </c>
    </row>
    <row r="59" spans="1:5" x14ac:dyDescent="0.2">
      <c r="A59" t="s">
        <v>56</v>
      </c>
      <c r="B59">
        <v>2942</v>
      </c>
      <c r="C59" s="2" t="e">
        <v>#N/A</v>
      </c>
      <c r="D59" t="str">
        <f>_xlfn.XLOOKUP(A59, HOCOMOCOv11_core_annotation_HUM!$B:$B, HOCOMOCOv11_core_annotation_HUM!$D:$D, "Missing")</f>
        <v>Missing</v>
      </c>
      <c r="E59" t="str">
        <f>_xlfn.XLOOKUP(A59, HOCOMOCOv11_full_annotation_HUM!$B:$B, HOCOMOCOv11_full_annotation_HUM!$D:$D, "Missing")</f>
        <v>Missing</v>
      </c>
    </row>
    <row r="60" spans="1:5" x14ac:dyDescent="0.2">
      <c r="A60" t="s">
        <v>57</v>
      </c>
      <c r="B60">
        <v>2651</v>
      </c>
      <c r="C60" s="2" t="e">
        <v>#N/A</v>
      </c>
      <c r="D60" t="str">
        <f>_xlfn.XLOOKUP(A60, HOCOMOCOv11_core_annotation_HUM!$B:$B, HOCOMOCOv11_core_annotation_HUM!$D:$D, "Missing")</f>
        <v>Missing</v>
      </c>
      <c r="E60" t="str">
        <f>_xlfn.XLOOKUP(A60, HOCOMOCOv11_full_annotation_HUM!$B:$B, HOCOMOCOv11_full_annotation_HUM!$D:$D, "Missing")</f>
        <v>Missing</v>
      </c>
    </row>
    <row r="61" spans="1:5" x14ac:dyDescent="0.2">
      <c r="A61" t="s">
        <v>58</v>
      </c>
      <c r="B61">
        <v>2516</v>
      </c>
      <c r="C61" s="2" t="e">
        <v>#N/A</v>
      </c>
      <c r="D61" t="str">
        <f>_xlfn.XLOOKUP(A61, HOCOMOCOv11_core_annotation_HUM!$B:$B, HOCOMOCOv11_core_annotation_HUM!$D:$D, "Missing")</f>
        <v>Missing</v>
      </c>
      <c r="E61" t="str">
        <f>_xlfn.XLOOKUP(A61, HOCOMOCOv11_full_annotation_HUM!$B:$B, HOCOMOCOv11_full_annotation_HUM!$D:$D, "Missing")</f>
        <v>Missing</v>
      </c>
    </row>
    <row r="62" spans="1:5" x14ac:dyDescent="0.2">
      <c r="A62" t="s">
        <v>59</v>
      </c>
      <c r="B62">
        <v>2496</v>
      </c>
      <c r="C62" s="2" t="e">
        <v>#N/A</v>
      </c>
      <c r="D62" t="str">
        <f>_xlfn.XLOOKUP(A62, HOCOMOCOv11_core_annotation_HUM!$B:$B, HOCOMOCOv11_core_annotation_HUM!$D:$D, "Missing")</f>
        <v>Missing</v>
      </c>
      <c r="E62" t="str">
        <f>_xlfn.XLOOKUP(A62, HOCOMOCOv11_full_annotation_HUM!$B:$B, HOCOMOCOv11_full_annotation_HUM!$D:$D, "Missing")</f>
        <v>Missing</v>
      </c>
    </row>
    <row r="63" spans="1:5" x14ac:dyDescent="0.2">
      <c r="A63" t="s">
        <v>60</v>
      </c>
      <c r="B63">
        <v>2458</v>
      </c>
      <c r="C63" s="2" t="e">
        <v>#N/A</v>
      </c>
      <c r="D63" t="str">
        <f>_xlfn.XLOOKUP(A63, HOCOMOCOv11_core_annotation_HUM!$B:$B, HOCOMOCOv11_core_annotation_HUM!$D:$D, "Missing")</f>
        <v>Missing</v>
      </c>
      <c r="E63" t="str">
        <f>_xlfn.XLOOKUP(A63, HOCOMOCOv11_full_annotation_HUM!$B:$B, HOCOMOCOv11_full_annotation_HUM!$D:$D, "Missing")</f>
        <v>Missing</v>
      </c>
    </row>
    <row r="64" spans="1:5" x14ac:dyDescent="0.2">
      <c r="A64" t="s">
        <v>63</v>
      </c>
      <c r="B64">
        <v>2122</v>
      </c>
      <c r="C64" s="2" t="e">
        <v>#N/A</v>
      </c>
      <c r="D64" t="str">
        <f>_xlfn.XLOOKUP(A64, HOCOMOCOv11_core_annotation_HUM!$B:$B, HOCOMOCOv11_core_annotation_HUM!$D:$D, "Missing")</f>
        <v>Missing</v>
      </c>
      <c r="E64" t="str">
        <f>_xlfn.XLOOKUP(A64, HOCOMOCOv11_full_annotation_HUM!$B:$B, HOCOMOCOv11_full_annotation_HUM!$D:$D, "Missing")</f>
        <v>Missing</v>
      </c>
    </row>
    <row r="65" spans="1:5" x14ac:dyDescent="0.2">
      <c r="A65" t="s">
        <v>65</v>
      </c>
      <c r="B65">
        <v>1818</v>
      </c>
      <c r="C65" s="2" t="e">
        <v>#N/A</v>
      </c>
      <c r="D65" t="str">
        <f>_xlfn.XLOOKUP(A65, HOCOMOCOv11_core_annotation_HUM!$B:$B, HOCOMOCOv11_core_annotation_HUM!$D:$D, "Missing")</f>
        <v>Missing</v>
      </c>
      <c r="E65" t="str">
        <f>_xlfn.XLOOKUP(A65, HOCOMOCOv11_full_annotation_HUM!$B:$B, HOCOMOCOv11_full_annotation_HUM!$D:$D, "Missing")</f>
        <v>Missing</v>
      </c>
    </row>
    <row r="66" spans="1:5" x14ac:dyDescent="0.2">
      <c r="A66" t="s">
        <v>66</v>
      </c>
      <c r="B66">
        <v>1792</v>
      </c>
      <c r="C66" s="2" t="e">
        <v>#N/A</v>
      </c>
      <c r="D66" t="str">
        <f>_xlfn.XLOOKUP(A66, HOCOMOCOv11_core_annotation_HUM!$B:$B, HOCOMOCOv11_core_annotation_HUM!$D:$D, "Missing")</f>
        <v>Missing</v>
      </c>
      <c r="E66" t="str">
        <f>_xlfn.XLOOKUP(A66, HOCOMOCOv11_full_annotation_HUM!$B:$B, HOCOMOCOv11_full_annotation_HUM!$D:$D, "Missing")</f>
        <v>Missing</v>
      </c>
    </row>
    <row r="67" spans="1:5" x14ac:dyDescent="0.2">
      <c r="A67" t="s">
        <v>72</v>
      </c>
      <c r="B67">
        <v>1546</v>
      </c>
      <c r="C67" s="2" t="e">
        <v>#N/A</v>
      </c>
      <c r="D67" t="str">
        <f>_xlfn.XLOOKUP(A67, HOCOMOCOv11_core_annotation_HUM!$B:$B, HOCOMOCOv11_core_annotation_HUM!$D:$D, "Missing")</f>
        <v>Missing</v>
      </c>
      <c r="E67" t="str">
        <f>_xlfn.XLOOKUP(A67, HOCOMOCOv11_full_annotation_HUM!$B:$B, HOCOMOCOv11_full_annotation_HUM!$D:$D, "Missing")</f>
        <v>Missing</v>
      </c>
    </row>
    <row r="68" spans="1:5" x14ac:dyDescent="0.2">
      <c r="A68" t="s">
        <v>73</v>
      </c>
      <c r="B68">
        <v>1535</v>
      </c>
      <c r="C68" s="2" t="e">
        <v>#N/A</v>
      </c>
      <c r="D68" t="str">
        <f>_xlfn.XLOOKUP(A68, HOCOMOCOv11_core_annotation_HUM!$B:$B, HOCOMOCOv11_core_annotation_HUM!$D:$D, "Missing")</f>
        <v>Missing</v>
      </c>
      <c r="E68" t="str">
        <f>_xlfn.XLOOKUP(A68, HOCOMOCOv11_full_annotation_HUM!$B:$B, HOCOMOCOv11_full_annotation_HUM!$D:$D, "Missing")</f>
        <v>Missing</v>
      </c>
    </row>
    <row r="69" spans="1:5" x14ac:dyDescent="0.2">
      <c r="A69" t="s">
        <v>74</v>
      </c>
      <c r="B69">
        <v>1508</v>
      </c>
      <c r="C69" s="2" t="e">
        <v>#N/A</v>
      </c>
      <c r="D69" t="str">
        <f>_xlfn.XLOOKUP(A69, HOCOMOCOv11_core_annotation_HUM!$B:$B, HOCOMOCOv11_core_annotation_HUM!$D:$D, "Missing")</f>
        <v>Missing</v>
      </c>
      <c r="E69" t="str">
        <f>_xlfn.XLOOKUP(A69, HOCOMOCOv11_full_annotation_HUM!$B:$B, HOCOMOCOv11_full_annotation_HUM!$D:$D, "Missing")</f>
        <v>Missing</v>
      </c>
    </row>
    <row r="70" spans="1:5" x14ac:dyDescent="0.2">
      <c r="A70" t="s">
        <v>75</v>
      </c>
      <c r="B70">
        <v>1490</v>
      </c>
      <c r="C70" s="2" t="e">
        <v>#N/A</v>
      </c>
      <c r="D70" t="str">
        <f>_xlfn.XLOOKUP(A70, HOCOMOCOv11_core_annotation_HUM!$B:$B, HOCOMOCOv11_core_annotation_HUM!$D:$D, "Missing")</f>
        <v>Missing</v>
      </c>
      <c r="E70" t="str">
        <f>_xlfn.XLOOKUP(A70, HOCOMOCOv11_full_annotation_HUM!$B:$B, HOCOMOCOv11_full_annotation_HUM!$D:$D, "Missing")</f>
        <v>Missing</v>
      </c>
    </row>
    <row r="71" spans="1:5" x14ac:dyDescent="0.2">
      <c r="A71" t="s">
        <v>77</v>
      </c>
      <c r="B71">
        <v>1316</v>
      </c>
      <c r="C71" s="2" t="e">
        <v>#N/A</v>
      </c>
      <c r="D71" t="str">
        <f>_xlfn.XLOOKUP(A71, HOCOMOCOv11_core_annotation_HUM!$B:$B, HOCOMOCOv11_core_annotation_HUM!$D:$D, "Missing")</f>
        <v>Missing</v>
      </c>
      <c r="E71" t="str">
        <f>_xlfn.XLOOKUP(A71, HOCOMOCOv11_full_annotation_HUM!$B:$B, HOCOMOCOv11_full_annotation_HUM!$D:$D, "Missing")</f>
        <v>Missing</v>
      </c>
    </row>
    <row r="72" spans="1:5" x14ac:dyDescent="0.2">
      <c r="A72" t="s">
        <v>79</v>
      </c>
      <c r="B72">
        <v>1262</v>
      </c>
      <c r="C72" s="2" t="e">
        <v>#N/A</v>
      </c>
      <c r="D72" t="str">
        <f>_xlfn.XLOOKUP(A72, HOCOMOCOv11_core_annotation_HUM!$B:$B, HOCOMOCOv11_core_annotation_HUM!$D:$D, "Missing")</f>
        <v>Missing</v>
      </c>
      <c r="E72" t="str">
        <f>_xlfn.XLOOKUP(A72, HOCOMOCOv11_full_annotation_HUM!$B:$B, HOCOMOCOv11_full_annotation_HUM!$D:$D, "Missing")</f>
        <v>Missing</v>
      </c>
    </row>
    <row r="73" spans="1:5" x14ac:dyDescent="0.2">
      <c r="A73" t="s">
        <v>80</v>
      </c>
      <c r="B73">
        <v>1262</v>
      </c>
      <c r="C73" s="2" t="e">
        <v>#N/A</v>
      </c>
      <c r="D73" t="str">
        <f>_xlfn.XLOOKUP(A73, HOCOMOCOv11_core_annotation_HUM!$B:$B, HOCOMOCOv11_core_annotation_HUM!$D:$D, "Missing")</f>
        <v>Missing</v>
      </c>
      <c r="E73" t="str">
        <f>_xlfn.XLOOKUP(A73, HOCOMOCOv11_full_annotation_HUM!$B:$B, HOCOMOCOv11_full_annotation_HUM!$D:$D, "Missing")</f>
        <v>Missing</v>
      </c>
    </row>
    <row r="74" spans="1:5" x14ac:dyDescent="0.2">
      <c r="A74" t="s">
        <v>81</v>
      </c>
      <c r="B74">
        <v>1243</v>
      </c>
      <c r="C74" s="2" t="e">
        <v>#N/A</v>
      </c>
      <c r="D74" t="str">
        <f>_xlfn.XLOOKUP(A74, HOCOMOCOv11_core_annotation_HUM!$B:$B, HOCOMOCOv11_core_annotation_HUM!$D:$D, "Missing")</f>
        <v>Missing</v>
      </c>
      <c r="E74" t="str">
        <f>_xlfn.XLOOKUP(A74, HOCOMOCOv11_full_annotation_HUM!$B:$B, HOCOMOCOv11_full_annotation_HUM!$D:$D, "Missing")</f>
        <v>Missing</v>
      </c>
    </row>
    <row r="75" spans="1:5" x14ac:dyDescent="0.2">
      <c r="A75" t="s">
        <v>82</v>
      </c>
      <c r="B75">
        <v>1235</v>
      </c>
      <c r="C75" s="2" t="e">
        <v>#N/A</v>
      </c>
      <c r="D75" t="str">
        <f>_xlfn.XLOOKUP(A75, HOCOMOCOv11_core_annotation_HUM!$B:$B, HOCOMOCOv11_core_annotation_HUM!$D:$D, "Missing")</f>
        <v>Missing</v>
      </c>
      <c r="E75" t="str">
        <f>_xlfn.XLOOKUP(A75, HOCOMOCOv11_full_annotation_HUM!$B:$B, HOCOMOCOv11_full_annotation_HUM!$D:$D, "Missing")</f>
        <v>Missing</v>
      </c>
    </row>
    <row r="76" spans="1:5" x14ac:dyDescent="0.2">
      <c r="A76" t="s">
        <v>83</v>
      </c>
      <c r="B76">
        <v>1232</v>
      </c>
      <c r="C76" s="2" t="e">
        <v>#N/A</v>
      </c>
      <c r="D76" t="str">
        <f>_xlfn.XLOOKUP(A76, HOCOMOCOv11_core_annotation_HUM!$B:$B, HOCOMOCOv11_core_annotation_HUM!$D:$D, "Missing")</f>
        <v>Missing</v>
      </c>
      <c r="E76" t="str">
        <f>_xlfn.XLOOKUP(A76, HOCOMOCOv11_full_annotation_HUM!$B:$B, HOCOMOCOv11_full_annotation_HUM!$D:$D, "Missing")</f>
        <v>Missing</v>
      </c>
    </row>
    <row r="77" spans="1:5" x14ac:dyDescent="0.2">
      <c r="A77" t="s">
        <v>87</v>
      </c>
      <c r="B77">
        <v>1070</v>
      </c>
      <c r="C77" s="2" t="e">
        <v>#N/A</v>
      </c>
      <c r="D77" t="str">
        <f>_xlfn.XLOOKUP(A77, HOCOMOCOv11_core_annotation_HUM!$B:$B, HOCOMOCOv11_core_annotation_HUM!$D:$D, "Missing")</f>
        <v>Missing</v>
      </c>
      <c r="E77" t="str">
        <f>_xlfn.XLOOKUP(A77, HOCOMOCOv11_full_annotation_HUM!$B:$B, HOCOMOCOv11_full_annotation_HUM!$D:$D, "Missing")</f>
        <v>Missing</v>
      </c>
    </row>
    <row r="78" spans="1:5" x14ac:dyDescent="0.2">
      <c r="A78" t="s">
        <v>88</v>
      </c>
      <c r="B78">
        <v>1050</v>
      </c>
      <c r="C78" s="2" t="e">
        <v>#N/A</v>
      </c>
      <c r="D78" t="str">
        <f>_xlfn.XLOOKUP(A78, HOCOMOCOv11_core_annotation_HUM!$B:$B, HOCOMOCOv11_core_annotation_HUM!$D:$D, "Missing")</f>
        <v>Missing</v>
      </c>
      <c r="E78" t="str">
        <f>_xlfn.XLOOKUP(A78, HOCOMOCOv11_full_annotation_HUM!$B:$B, HOCOMOCOv11_full_annotation_HUM!$D:$D, "Missing")</f>
        <v>Missing</v>
      </c>
    </row>
    <row r="79" spans="1:5" x14ac:dyDescent="0.2">
      <c r="A79" t="s">
        <v>90</v>
      </c>
      <c r="B79">
        <v>1028</v>
      </c>
      <c r="C79" s="2" t="e">
        <v>#N/A</v>
      </c>
      <c r="D79" t="str">
        <f>_xlfn.XLOOKUP(A79, HOCOMOCOv11_core_annotation_HUM!$B:$B, HOCOMOCOv11_core_annotation_HUM!$D:$D, "Missing")</f>
        <v>Missing</v>
      </c>
      <c r="E79" t="str">
        <f>_xlfn.XLOOKUP(A79, HOCOMOCOv11_full_annotation_HUM!$B:$B, HOCOMOCOv11_full_annotation_HUM!$D:$D, "Missing")</f>
        <v>Missing</v>
      </c>
    </row>
    <row r="80" spans="1:5" x14ac:dyDescent="0.2">
      <c r="A80" t="s">
        <v>92</v>
      </c>
      <c r="B80">
        <v>1023</v>
      </c>
      <c r="C80" s="2" t="e">
        <v>#N/A</v>
      </c>
      <c r="D80" t="str">
        <f>_xlfn.XLOOKUP(A80, HOCOMOCOv11_core_annotation_HUM!$B:$B, HOCOMOCOv11_core_annotation_HUM!$D:$D, "Missing")</f>
        <v>Missing</v>
      </c>
      <c r="E80" t="str">
        <f>_xlfn.XLOOKUP(A80, HOCOMOCOv11_full_annotation_HUM!$B:$B, HOCOMOCOv11_full_annotation_HUM!$D:$D, "Missing")</f>
        <v>Missing</v>
      </c>
    </row>
    <row r="84" spans="5:5" x14ac:dyDescent="0.2">
      <c r="E84">
        <v>9</v>
      </c>
    </row>
  </sheetData>
  <sortState xmlns:xlrd2="http://schemas.microsoft.com/office/spreadsheetml/2017/richdata2" ref="A2:E80">
    <sortCondition ref="E2:E80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F07CF-FECD-134C-AF67-41DDD0960474}">
  <dimension ref="A1:S770"/>
  <sheetViews>
    <sheetView topLeftCell="A115" workbookViewId="0">
      <selection activeCell="D33" sqref="D33"/>
    </sheetView>
  </sheetViews>
  <sheetFormatPr baseColWidth="10" defaultRowHeight="16" x14ac:dyDescent="0.2"/>
  <sheetData>
    <row r="1" spans="1:19" x14ac:dyDescent="0.2">
      <c r="A1" t="s">
        <v>4076</v>
      </c>
      <c r="B1" t="s">
        <v>4075</v>
      </c>
      <c r="C1" t="s">
        <v>4074</v>
      </c>
      <c r="D1" t="s">
        <v>4073</v>
      </c>
      <c r="E1" t="s">
        <v>4072</v>
      </c>
      <c r="F1" t="s">
        <v>4071</v>
      </c>
      <c r="G1" t="s">
        <v>4070</v>
      </c>
      <c r="H1" t="s">
        <v>4069</v>
      </c>
      <c r="I1" t="s">
        <v>4068</v>
      </c>
      <c r="J1" t="s">
        <v>4067</v>
      </c>
      <c r="K1" t="s">
        <v>4066</v>
      </c>
      <c r="L1" t="s">
        <v>4065</v>
      </c>
      <c r="M1" t="s">
        <v>4064</v>
      </c>
      <c r="N1" t="s">
        <v>4063</v>
      </c>
      <c r="O1" t="s">
        <v>4062</v>
      </c>
      <c r="P1" t="s">
        <v>4061</v>
      </c>
      <c r="Q1" t="s">
        <v>4060</v>
      </c>
      <c r="R1" t="s">
        <v>4059</v>
      </c>
      <c r="S1" t="s">
        <v>4058</v>
      </c>
    </row>
    <row r="2" spans="1:19" x14ac:dyDescent="0.2">
      <c r="A2" t="s">
        <v>4057</v>
      </c>
      <c r="B2" t="s">
        <v>4056</v>
      </c>
      <c r="C2">
        <v>9</v>
      </c>
      <c r="D2" t="s">
        <v>388</v>
      </c>
      <c r="E2">
        <v>0</v>
      </c>
      <c r="F2" t="s">
        <v>4055</v>
      </c>
      <c r="G2" t="s">
        <v>229</v>
      </c>
      <c r="H2" t="s">
        <v>228</v>
      </c>
      <c r="M2">
        <v>157</v>
      </c>
      <c r="N2" t="s">
        <v>2929</v>
      </c>
      <c r="O2" t="s">
        <v>2928</v>
      </c>
      <c r="P2">
        <v>348</v>
      </c>
      <c r="Q2">
        <v>196</v>
      </c>
      <c r="R2" t="s">
        <v>4054</v>
      </c>
      <c r="S2" t="s">
        <v>4053</v>
      </c>
    </row>
    <row r="3" spans="1:19" x14ac:dyDescent="0.2">
      <c r="A3" t="s">
        <v>4052</v>
      </c>
      <c r="B3" t="s">
        <v>4051</v>
      </c>
      <c r="C3">
        <v>18</v>
      </c>
      <c r="D3" t="s">
        <v>120</v>
      </c>
      <c r="E3">
        <v>0</v>
      </c>
      <c r="F3" t="s">
        <v>4050</v>
      </c>
      <c r="G3" t="s">
        <v>229</v>
      </c>
      <c r="H3" t="s">
        <v>228</v>
      </c>
      <c r="M3">
        <v>41</v>
      </c>
      <c r="N3" t="s">
        <v>4049</v>
      </c>
      <c r="O3" t="s">
        <v>4048</v>
      </c>
      <c r="P3">
        <v>360</v>
      </c>
      <c r="Q3">
        <v>326</v>
      </c>
      <c r="R3" t="s">
        <v>4047</v>
      </c>
      <c r="S3" t="s">
        <v>4046</v>
      </c>
    </row>
    <row r="4" spans="1:19" x14ac:dyDescent="0.2">
      <c r="A4" t="s">
        <v>4045</v>
      </c>
      <c r="B4" t="s">
        <v>4044</v>
      </c>
      <c r="C4">
        <v>12</v>
      </c>
      <c r="D4" t="s">
        <v>388</v>
      </c>
      <c r="E4">
        <v>0</v>
      </c>
      <c r="F4" t="s">
        <v>4043</v>
      </c>
      <c r="G4" t="s">
        <v>229</v>
      </c>
      <c r="H4" t="s">
        <v>228</v>
      </c>
      <c r="M4">
        <v>33</v>
      </c>
      <c r="N4" t="s">
        <v>671</v>
      </c>
      <c r="O4" t="s">
        <v>4032</v>
      </c>
      <c r="P4">
        <v>1494</v>
      </c>
      <c r="Q4">
        <v>8092</v>
      </c>
      <c r="R4" t="s">
        <v>4042</v>
      </c>
      <c r="S4" t="s">
        <v>4041</v>
      </c>
    </row>
    <row r="5" spans="1:19" x14ac:dyDescent="0.2">
      <c r="A5" t="s">
        <v>4040</v>
      </c>
      <c r="B5" t="s">
        <v>4039</v>
      </c>
      <c r="C5">
        <v>11</v>
      </c>
      <c r="D5" t="s">
        <v>111</v>
      </c>
      <c r="E5">
        <v>0</v>
      </c>
      <c r="F5" t="s">
        <v>4038</v>
      </c>
      <c r="G5" t="s">
        <v>109</v>
      </c>
      <c r="H5" t="s">
        <v>108</v>
      </c>
      <c r="M5">
        <v>8583</v>
      </c>
      <c r="N5" t="s">
        <v>671</v>
      </c>
      <c r="O5" t="s">
        <v>4032</v>
      </c>
      <c r="P5">
        <v>449</v>
      </c>
      <c r="Q5">
        <v>257</v>
      </c>
      <c r="R5" t="s">
        <v>4037</v>
      </c>
      <c r="S5" t="s">
        <v>4036</v>
      </c>
    </row>
    <row r="6" spans="1:19" x14ac:dyDescent="0.2">
      <c r="A6" t="s">
        <v>4035</v>
      </c>
      <c r="B6" t="s">
        <v>4034</v>
      </c>
      <c r="C6">
        <v>12</v>
      </c>
      <c r="D6" t="s">
        <v>111</v>
      </c>
      <c r="E6">
        <v>0</v>
      </c>
      <c r="F6" t="s">
        <v>4033</v>
      </c>
      <c r="G6" t="s">
        <v>109</v>
      </c>
      <c r="H6" t="s">
        <v>108</v>
      </c>
      <c r="M6">
        <v>23663</v>
      </c>
      <c r="N6" t="s">
        <v>671</v>
      </c>
      <c r="O6" t="s">
        <v>4032</v>
      </c>
      <c r="P6">
        <v>450</v>
      </c>
      <c r="Q6">
        <v>60529</v>
      </c>
      <c r="R6" t="s">
        <v>4031</v>
      </c>
      <c r="S6" t="s">
        <v>4030</v>
      </c>
    </row>
    <row r="7" spans="1:19" x14ac:dyDescent="0.2">
      <c r="A7" t="s">
        <v>4029</v>
      </c>
      <c r="B7" t="s">
        <v>4024</v>
      </c>
      <c r="C7">
        <v>18</v>
      </c>
      <c r="D7" t="s">
        <v>363</v>
      </c>
      <c r="E7">
        <v>0</v>
      </c>
      <c r="F7" t="s">
        <v>4028</v>
      </c>
      <c r="G7" t="s">
        <v>118</v>
      </c>
      <c r="H7" t="s">
        <v>117</v>
      </c>
      <c r="I7">
        <v>0.95983709882508805</v>
      </c>
      <c r="J7">
        <v>0.81079115064208096</v>
      </c>
      <c r="K7">
        <v>461</v>
      </c>
      <c r="L7">
        <v>57</v>
      </c>
      <c r="M7">
        <v>499</v>
      </c>
      <c r="N7" t="s">
        <v>1483</v>
      </c>
      <c r="O7" t="s">
        <v>1482</v>
      </c>
      <c r="P7">
        <v>644</v>
      </c>
      <c r="Q7">
        <v>367</v>
      </c>
      <c r="R7" t="s">
        <v>4022</v>
      </c>
      <c r="S7" t="s">
        <v>4021</v>
      </c>
    </row>
    <row r="8" spans="1:19" x14ac:dyDescent="0.2">
      <c r="A8" t="s">
        <v>4027</v>
      </c>
      <c r="B8" t="s">
        <v>4024</v>
      </c>
      <c r="C8">
        <v>16</v>
      </c>
      <c r="D8" t="s">
        <v>363</v>
      </c>
      <c r="E8">
        <v>1</v>
      </c>
      <c r="F8" t="s">
        <v>4026</v>
      </c>
      <c r="G8" t="s">
        <v>118</v>
      </c>
      <c r="H8" t="s">
        <v>117</v>
      </c>
      <c r="I8">
        <v>0.96980047946009296</v>
      </c>
      <c r="J8">
        <v>0.991201831346464</v>
      </c>
      <c r="K8">
        <v>461</v>
      </c>
      <c r="L8">
        <v>57</v>
      </c>
      <c r="M8">
        <v>500</v>
      </c>
      <c r="N8" t="s">
        <v>1483</v>
      </c>
      <c r="O8" t="s">
        <v>1482</v>
      </c>
      <c r="P8">
        <v>644</v>
      </c>
      <c r="Q8">
        <v>367</v>
      </c>
      <c r="R8" t="s">
        <v>4022</v>
      </c>
      <c r="S8" t="s">
        <v>4021</v>
      </c>
    </row>
    <row r="9" spans="1:19" x14ac:dyDescent="0.2">
      <c r="A9" t="s">
        <v>4025</v>
      </c>
      <c r="B9" t="s">
        <v>4024</v>
      </c>
      <c r="C9">
        <v>12</v>
      </c>
      <c r="D9" t="s">
        <v>363</v>
      </c>
      <c r="E9">
        <v>2</v>
      </c>
      <c r="F9" t="s">
        <v>4023</v>
      </c>
      <c r="G9" t="s">
        <v>118</v>
      </c>
      <c r="H9" t="s">
        <v>117</v>
      </c>
      <c r="I9">
        <v>0.90120128295074697</v>
      </c>
      <c r="J9">
        <v>0.887356929697666</v>
      </c>
      <c r="K9">
        <v>461</v>
      </c>
      <c r="L9">
        <v>57</v>
      </c>
      <c r="M9">
        <v>500</v>
      </c>
      <c r="N9" t="s">
        <v>1483</v>
      </c>
      <c r="O9" t="s">
        <v>1482</v>
      </c>
      <c r="P9">
        <v>644</v>
      </c>
      <c r="Q9">
        <v>367</v>
      </c>
      <c r="R9" t="s">
        <v>4022</v>
      </c>
      <c r="S9" t="s">
        <v>4021</v>
      </c>
    </row>
    <row r="10" spans="1:19" x14ac:dyDescent="0.2">
      <c r="A10" t="s">
        <v>4020</v>
      </c>
      <c r="B10" t="s">
        <v>4019</v>
      </c>
      <c r="C10">
        <v>15</v>
      </c>
      <c r="D10" t="s">
        <v>363</v>
      </c>
      <c r="E10">
        <v>0</v>
      </c>
      <c r="F10" t="s">
        <v>4018</v>
      </c>
      <c r="G10" t="s">
        <v>109</v>
      </c>
      <c r="H10" t="s">
        <v>117</v>
      </c>
      <c r="I10">
        <v>0.95556086620420799</v>
      </c>
      <c r="J10">
        <v>0.93658649110427195</v>
      </c>
      <c r="K10">
        <v>13</v>
      </c>
      <c r="L10">
        <v>13</v>
      </c>
      <c r="M10">
        <v>500</v>
      </c>
      <c r="N10" t="s">
        <v>3999</v>
      </c>
      <c r="O10" t="s">
        <v>4017</v>
      </c>
      <c r="P10">
        <v>11742</v>
      </c>
      <c r="Q10">
        <v>7020</v>
      </c>
      <c r="R10" t="s">
        <v>4016</v>
      </c>
      <c r="S10" t="s">
        <v>4015</v>
      </c>
    </row>
    <row r="11" spans="1:19" x14ac:dyDescent="0.2">
      <c r="A11" t="s">
        <v>4014</v>
      </c>
      <c r="B11" t="s">
        <v>4013</v>
      </c>
      <c r="C11">
        <v>10</v>
      </c>
      <c r="D11" t="s">
        <v>388</v>
      </c>
      <c r="E11">
        <v>0</v>
      </c>
      <c r="F11" t="s">
        <v>4012</v>
      </c>
      <c r="G11" t="s">
        <v>229</v>
      </c>
      <c r="H11" t="s">
        <v>228</v>
      </c>
      <c r="M11">
        <v>30</v>
      </c>
      <c r="N11" t="s">
        <v>3999</v>
      </c>
      <c r="O11" t="s">
        <v>4011</v>
      </c>
      <c r="P11">
        <v>11743</v>
      </c>
      <c r="Q11">
        <v>7021</v>
      </c>
      <c r="R11" t="s">
        <v>4010</v>
      </c>
      <c r="S11" t="s">
        <v>4009</v>
      </c>
    </row>
    <row r="12" spans="1:19" x14ac:dyDescent="0.2">
      <c r="A12" t="s">
        <v>4008</v>
      </c>
      <c r="B12" t="s">
        <v>4007</v>
      </c>
      <c r="C12">
        <v>14</v>
      </c>
      <c r="D12" t="s">
        <v>363</v>
      </c>
      <c r="E12">
        <v>0</v>
      </c>
      <c r="F12" t="s">
        <v>4006</v>
      </c>
      <c r="G12" t="s">
        <v>109</v>
      </c>
      <c r="H12" t="s">
        <v>117</v>
      </c>
      <c r="I12">
        <v>0.94994854255535199</v>
      </c>
      <c r="J12">
        <v>0.94118438912674196</v>
      </c>
      <c r="K12">
        <v>18</v>
      </c>
      <c r="L12">
        <v>6</v>
      </c>
      <c r="M12">
        <v>501</v>
      </c>
      <c r="N12" t="s">
        <v>3999</v>
      </c>
      <c r="O12" t="s">
        <v>4005</v>
      </c>
      <c r="P12">
        <v>11744</v>
      </c>
      <c r="Q12">
        <v>7022</v>
      </c>
      <c r="R12" t="s">
        <v>4004</v>
      </c>
      <c r="S12" t="s">
        <v>4003</v>
      </c>
    </row>
    <row r="13" spans="1:19" x14ac:dyDescent="0.2">
      <c r="A13" t="s">
        <v>4002</v>
      </c>
      <c r="B13" t="s">
        <v>4001</v>
      </c>
      <c r="C13">
        <v>14</v>
      </c>
      <c r="D13" t="s">
        <v>111</v>
      </c>
      <c r="E13">
        <v>0</v>
      </c>
      <c r="F13" t="s">
        <v>4000</v>
      </c>
      <c r="G13" t="s">
        <v>229</v>
      </c>
      <c r="H13" t="s">
        <v>228</v>
      </c>
      <c r="M13">
        <v>5</v>
      </c>
      <c r="N13" t="s">
        <v>3999</v>
      </c>
      <c r="O13" t="s">
        <v>3998</v>
      </c>
      <c r="P13">
        <v>15581</v>
      </c>
      <c r="Q13">
        <v>83741</v>
      </c>
      <c r="R13" t="s">
        <v>3997</v>
      </c>
      <c r="S13" t="s">
        <v>3996</v>
      </c>
    </row>
    <row r="14" spans="1:19" x14ac:dyDescent="0.2">
      <c r="A14" t="s">
        <v>3995</v>
      </c>
      <c r="B14" t="s">
        <v>3994</v>
      </c>
      <c r="C14">
        <v>22</v>
      </c>
      <c r="D14" t="s">
        <v>111</v>
      </c>
      <c r="E14">
        <v>0</v>
      </c>
      <c r="F14" t="s">
        <v>3993</v>
      </c>
      <c r="G14" t="s">
        <v>229</v>
      </c>
      <c r="H14" t="s">
        <v>228</v>
      </c>
      <c r="M14">
        <v>44</v>
      </c>
      <c r="N14" t="s">
        <v>3986</v>
      </c>
      <c r="O14" t="s">
        <v>3992</v>
      </c>
      <c r="P14">
        <v>3031</v>
      </c>
      <c r="Q14">
        <v>1820</v>
      </c>
      <c r="R14" t="s">
        <v>3991</v>
      </c>
      <c r="S14" t="s">
        <v>3990</v>
      </c>
    </row>
    <row r="15" spans="1:19" x14ac:dyDescent="0.2">
      <c r="A15" t="s">
        <v>3989</v>
      </c>
      <c r="B15" t="s">
        <v>3988</v>
      </c>
      <c r="C15">
        <v>13</v>
      </c>
      <c r="D15" t="s">
        <v>120</v>
      </c>
      <c r="E15">
        <v>0</v>
      </c>
      <c r="F15" t="s">
        <v>3987</v>
      </c>
      <c r="G15" t="s">
        <v>229</v>
      </c>
      <c r="H15" t="s">
        <v>228</v>
      </c>
      <c r="M15">
        <v>19</v>
      </c>
      <c r="N15" t="s">
        <v>3986</v>
      </c>
      <c r="O15" t="s">
        <v>3985</v>
      </c>
      <c r="P15">
        <v>17362</v>
      </c>
      <c r="Q15">
        <v>84159</v>
      </c>
      <c r="R15" t="s">
        <v>3984</v>
      </c>
      <c r="S15" t="s">
        <v>3983</v>
      </c>
    </row>
    <row r="16" spans="1:19" x14ac:dyDescent="0.2">
      <c r="A16" t="s">
        <v>3982</v>
      </c>
      <c r="B16" t="s">
        <v>3981</v>
      </c>
      <c r="C16">
        <v>12</v>
      </c>
      <c r="D16" t="s">
        <v>111</v>
      </c>
      <c r="E16">
        <v>0</v>
      </c>
      <c r="F16" t="s">
        <v>3980</v>
      </c>
      <c r="G16" t="s">
        <v>229</v>
      </c>
      <c r="H16" t="s">
        <v>228</v>
      </c>
      <c r="M16">
        <v>18</v>
      </c>
      <c r="N16" t="s">
        <v>2929</v>
      </c>
      <c r="O16" t="s">
        <v>3743</v>
      </c>
      <c r="P16">
        <v>16876</v>
      </c>
      <c r="Q16">
        <v>9915</v>
      </c>
      <c r="R16" t="s">
        <v>3979</v>
      </c>
      <c r="S16" t="s">
        <v>3978</v>
      </c>
    </row>
    <row r="17" spans="1:19" x14ac:dyDescent="0.2">
      <c r="A17" t="s">
        <v>3977</v>
      </c>
      <c r="B17" t="s">
        <v>3976</v>
      </c>
      <c r="C17">
        <v>9</v>
      </c>
      <c r="D17" t="s">
        <v>388</v>
      </c>
      <c r="E17">
        <v>0</v>
      </c>
      <c r="F17" t="s">
        <v>3975</v>
      </c>
      <c r="G17" t="s">
        <v>118</v>
      </c>
      <c r="H17" t="s">
        <v>117</v>
      </c>
      <c r="I17">
        <v>0.935776858227643</v>
      </c>
      <c r="K17">
        <v>8</v>
      </c>
      <c r="M17">
        <v>500</v>
      </c>
      <c r="N17" t="s">
        <v>2929</v>
      </c>
      <c r="O17" t="s">
        <v>3743</v>
      </c>
      <c r="P17">
        <v>700</v>
      </c>
      <c r="Q17">
        <v>405</v>
      </c>
      <c r="R17" t="s">
        <v>3974</v>
      </c>
      <c r="S17" t="s">
        <v>3973</v>
      </c>
    </row>
    <row r="18" spans="1:19" x14ac:dyDescent="0.2">
      <c r="A18" t="s">
        <v>3972</v>
      </c>
      <c r="B18" t="s">
        <v>3971</v>
      </c>
      <c r="C18">
        <v>13</v>
      </c>
      <c r="D18" t="s">
        <v>111</v>
      </c>
      <c r="E18">
        <v>0</v>
      </c>
      <c r="F18" t="s">
        <v>3970</v>
      </c>
      <c r="G18" t="s">
        <v>109</v>
      </c>
      <c r="H18" t="s">
        <v>108</v>
      </c>
      <c r="M18">
        <v>623</v>
      </c>
      <c r="N18" t="s">
        <v>671</v>
      </c>
      <c r="O18" t="s">
        <v>3969</v>
      </c>
      <c r="P18">
        <v>18060</v>
      </c>
      <c r="Q18">
        <v>170302</v>
      </c>
      <c r="R18" t="s">
        <v>3968</v>
      </c>
      <c r="S18" t="s">
        <v>3967</v>
      </c>
    </row>
    <row r="19" spans="1:19" x14ac:dyDescent="0.2">
      <c r="A19" t="s">
        <v>3966</v>
      </c>
      <c r="B19" t="s">
        <v>3965</v>
      </c>
      <c r="C19">
        <v>14</v>
      </c>
      <c r="D19" t="s">
        <v>363</v>
      </c>
      <c r="E19">
        <v>0</v>
      </c>
      <c r="F19" t="s">
        <v>3964</v>
      </c>
      <c r="G19" t="s">
        <v>118</v>
      </c>
      <c r="H19" t="s">
        <v>117</v>
      </c>
      <c r="I19">
        <v>0.98549867087778498</v>
      </c>
      <c r="J19">
        <v>0.98049327929651398</v>
      </c>
      <c r="K19">
        <v>30</v>
      </c>
      <c r="L19">
        <v>25</v>
      </c>
      <c r="M19">
        <v>480</v>
      </c>
      <c r="N19" t="s">
        <v>2155</v>
      </c>
      <c r="O19" t="s">
        <v>3958</v>
      </c>
      <c r="P19">
        <v>738</v>
      </c>
      <c r="Q19">
        <v>429</v>
      </c>
      <c r="R19" t="s">
        <v>3963</v>
      </c>
      <c r="S19" t="s">
        <v>3962</v>
      </c>
    </row>
    <row r="20" spans="1:19" x14ac:dyDescent="0.2">
      <c r="A20" t="s">
        <v>3961</v>
      </c>
      <c r="B20" t="s">
        <v>3960</v>
      </c>
      <c r="C20">
        <v>9</v>
      </c>
      <c r="D20" t="s">
        <v>111</v>
      </c>
      <c r="E20">
        <v>0</v>
      </c>
      <c r="F20" t="s">
        <v>3959</v>
      </c>
      <c r="G20" t="s">
        <v>118</v>
      </c>
      <c r="H20" t="s">
        <v>117</v>
      </c>
      <c r="I20">
        <v>0.59387726703098598</v>
      </c>
      <c r="J20">
        <v>0.91956126176182895</v>
      </c>
      <c r="K20">
        <v>8</v>
      </c>
      <c r="L20">
        <v>9</v>
      </c>
      <c r="M20">
        <v>505</v>
      </c>
      <c r="N20" t="s">
        <v>2155</v>
      </c>
      <c r="O20" t="s">
        <v>3958</v>
      </c>
      <c r="P20">
        <v>739</v>
      </c>
      <c r="Q20">
        <v>430</v>
      </c>
      <c r="R20" t="s">
        <v>3957</v>
      </c>
      <c r="S20" t="s">
        <v>3956</v>
      </c>
    </row>
    <row r="21" spans="1:19" x14ac:dyDescent="0.2">
      <c r="A21" t="s">
        <v>3955</v>
      </c>
      <c r="B21" t="s">
        <v>3954</v>
      </c>
      <c r="C21">
        <v>11</v>
      </c>
      <c r="D21" t="s">
        <v>388</v>
      </c>
      <c r="E21">
        <v>0</v>
      </c>
      <c r="F21" t="s">
        <v>3953</v>
      </c>
      <c r="G21" t="s">
        <v>118</v>
      </c>
      <c r="H21" t="s">
        <v>117</v>
      </c>
      <c r="I21">
        <v>0.89168408069196503</v>
      </c>
      <c r="K21">
        <v>6</v>
      </c>
      <c r="M21">
        <v>500</v>
      </c>
      <c r="N21" t="s">
        <v>3684</v>
      </c>
      <c r="O21" t="s">
        <v>3683</v>
      </c>
      <c r="P21">
        <v>783</v>
      </c>
      <c r="Q21">
        <v>466</v>
      </c>
      <c r="R21" t="s">
        <v>3952</v>
      </c>
      <c r="S21" t="s">
        <v>3951</v>
      </c>
    </row>
    <row r="22" spans="1:19" x14ac:dyDescent="0.2">
      <c r="A22" t="s">
        <v>3950</v>
      </c>
      <c r="B22" t="s">
        <v>3945</v>
      </c>
      <c r="C22">
        <v>11</v>
      </c>
      <c r="D22" t="s">
        <v>388</v>
      </c>
      <c r="E22">
        <v>0</v>
      </c>
      <c r="F22" t="s">
        <v>3949</v>
      </c>
      <c r="G22" t="s">
        <v>118</v>
      </c>
      <c r="H22" t="s">
        <v>117</v>
      </c>
      <c r="I22">
        <v>0.75088531984280105</v>
      </c>
      <c r="J22">
        <v>0.84933689403539103</v>
      </c>
      <c r="K22">
        <v>8</v>
      </c>
      <c r="L22">
        <v>4</v>
      </c>
      <c r="M22">
        <v>502</v>
      </c>
      <c r="N22" t="s">
        <v>2082</v>
      </c>
      <c r="O22" t="s">
        <v>3690</v>
      </c>
      <c r="P22">
        <v>784</v>
      </c>
      <c r="Q22">
        <v>1386</v>
      </c>
      <c r="R22" t="s">
        <v>3943</v>
      </c>
      <c r="S22" t="s">
        <v>3942</v>
      </c>
    </row>
    <row r="23" spans="1:19" x14ac:dyDescent="0.2">
      <c r="A23" t="s">
        <v>3948</v>
      </c>
      <c r="B23" t="s">
        <v>3945</v>
      </c>
      <c r="C23">
        <v>20</v>
      </c>
      <c r="D23" t="s">
        <v>388</v>
      </c>
      <c r="E23">
        <v>1</v>
      </c>
      <c r="F23" t="s">
        <v>3947</v>
      </c>
      <c r="G23" t="s">
        <v>118</v>
      </c>
      <c r="H23" t="s">
        <v>117</v>
      </c>
      <c r="I23">
        <v>0.705059977074186</v>
      </c>
      <c r="J23">
        <v>0.80641933580998904</v>
      </c>
      <c r="K23">
        <v>8</v>
      </c>
      <c r="L23">
        <v>4</v>
      </c>
      <c r="M23">
        <v>1294</v>
      </c>
      <c r="N23" t="s">
        <v>2082</v>
      </c>
      <c r="O23" t="s">
        <v>3690</v>
      </c>
      <c r="P23">
        <v>784</v>
      </c>
      <c r="Q23">
        <v>1386</v>
      </c>
      <c r="R23" t="s">
        <v>3943</v>
      </c>
      <c r="S23" t="s">
        <v>3942</v>
      </c>
    </row>
    <row r="24" spans="1:19" x14ac:dyDescent="0.2">
      <c r="A24" t="s">
        <v>3946</v>
      </c>
      <c r="B24" t="s">
        <v>3945</v>
      </c>
      <c r="C24">
        <v>11</v>
      </c>
      <c r="D24" t="s">
        <v>120</v>
      </c>
      <c r="E24">
        <v>2</v>
      </c>
      <c r="F24" t="s">
        <v>3944</v>
      </c>
      <c r="G24" t="s">
        <v>118</v>
      </c>
      <c r="H24" t="s">
        <v>117</v>
      </c>
      <c r="I24">
        <v>0.70801466680206504</v>
      </c>
      <c r="J24">
        <v>0.79956231868190097</v>
      </c>
      <c r="K24">
        <v>8</v>
      </c>
      <c r="L24">
        <v>4</v>
      </c>
      <c r="M24">
        <v>385</v>
      </c>
      <c r="N24" t="s">
        <v>2082</v>
      </c>
      <c r="O24" t="s">
        <v>3690</v>
      </c>
      <c r="P24">
        <v>784</v>
      </c>
      <c r="Q24">
        <v>1386</v>
      </c>
      <c r="R24" t="s">
        <v>3943</v>
      </c>
      <c r="S24" t="s">
        <v>3942</v>
      </c>
    </row>
    <row r="25" spans="1:19" x14ac:dyDescent="0.2">
      <c r="A25" t="s">
        <v>3941</v>
      </c>
      <c r="B25" t="s">
        <v>3940</v>
      </c>
      <c r="C25">
        <v>11</v>
      </c>
      <c r="D25" t="s">
        <v>363</v>
      </c>
      <c r="E25">
        <v>0</v>
      </c>
      <c r="F25" t="s">
        <v>3939</v>
      </c>
      <c r="G25" t="s">
        <v>118</v>
      </c>
      <c r="H25" t="s">
        <v>117</v>
      </c>
      <c r="I25">
        <v>0.92781847936159101</v>
      </c>
      <c r="J25">
        <v>0.76418011778575801</v>
      </c>
      <c r="K25">
        <v>36</v>
      </c>
      <c r="L25">
        <v>16</v>
      </c>
      <c r="M25">
        <v>505</v>
      </c>
      <c r="N25" t="s">
        <v>2532</v>
      </c>
      <c r="O25" t="s">
        <v>2531</v>
      </c>
      <c r="P25">
        <v>785</v>
      </c>
      <c r="Q25">
        <v>467</v>
      </c>
      <c r="R25" t="s">
        <v>3938</v>
      </c>
      <c r="S25" t="s">
        <v>3937</v>
      </c>
    </row>
    <row r="26" spans="1:19" x14ac:dyDescent="0.2">
      <c r="A26" t="s">
        <v>3936</v>
      </c>
      <c r="B26" t="s">
        <v>3935</v>
      </c>
      <c r="C26">
        <v>12</v>
      </c>
      <c r="D26" t="s">
        <v>363</v>
      </c>
      <c r="E26">
        <v>0</v>
      </c>
      <c r="F26" t="s">
        <v>3934</v>
      </c>
      <c r="G26" t="s">
        <v>118</v>
      </c>
      <c r="H26" t="s">
        <v>117</v>
      </c>
      <c r="I26">
        <v>0.99788200797151205</v>
      </c>
      <c r="J26">
        <v>0.951110494783313</v>
      </c>
      <c r="K26">
        <v>18</v>
      </c>
      <c r="L26">
        <v>9</v>
      </c>
      <c r="M26">
        <v>500</v>
      </c>
      <c r="N26" t="s">
        <v>3933</v>
      </c>
      <c r="O26" t="s">
        <v>3932</v>
      </c>
      <c r="P26">
        <v>786</v>
      </c>
      <c r="Q26">
        <v>468</v>
      </c>
      <c r="R26" t="s">
        <v>3931</v>
      </c>
      <c r="S26" t="s">
        <v>3930</v>
      </c>
    </row>
    <row r="27" spans="1:19" x14ac:dyDescent="0.2">
      <c r="A27" t="s">
        <v>3929</v>
      </c>
      <c r="B27" t="s">
        <v>3928</v>
      </c>
      <c r="C27">
        <v>12</v>
      </c>
      <c r="D27" t="s">
        <v>388</v>
      </c>
      <c r="E27">
        <v>0</v>
      </c>
      <c r="F27" t="s">
        <v>3927</v>
      </c>
      <c r="G27" t="s">
        <v>229</v>
      </c>
      <c r="H27" t="s">
        <v>228</v>
      </c>
      <c r="M27">
        <v>20</v>
      </c>
      <c r="N27" t="s">
        <v>3684</v>
      </c>
      <c r="O27" t="s">
        <v>3926</v>
      </c>
      <c r="P27">
        <v>791</v>
      </c>
      <c r="Q27">
        <v>22926</v>
      </c>
      <c r="R27" t="s">
        <v>3925</v>
      </c>
      <c r="S27" t="s">
        <v>3924</v>
      </c>
    </row>
    <row r="28" spans="1:19" x14ac:dyDescent="0.2">
      <c r="A28" t="s">
        <v>3923</v>
      </c>
      <c r="B28" t="s">
        <v>3922</v>
      </c>
      <c r="C28">
        <v>11</v>
      </c>
      <c r="D28" t="s">
        <v>111</v>
      </c>
      <c r="E28">
        <v>0</v>
      </c>
      <c r="F28" t="s">
        <v>3691</v>
      </c>
      <c r="G28" t="s">
        <v>109</v>
      </c>
      <c r="H28" t="s">
        <v>108</v>
      </c>
      <c r="M28">
        <v>13767</v>
      </c>
      <c r="N28" t="s">
        <v>2082</v>
      </c>
      <c r="O28" t="s">
        <v>3690</v>
      </c>
      <c r="P28">
        <v>792</v>
      </c>
      <c r="Q28">
        <v>11016</v>
      </c>
      <c r="R28" t="s">
        <v>3921</v>
      </c>
      <c r="S28" t="s">
        <v>3920</v>
      </c>
    </row>
    <row r="29" spans="1:19" x14ac:dyDescent="0.2">
      <c r="A29" t="s">
        <v>3919</v>
      </c>
      <c r="B29" t="s">
        <v>3918</v>
      </c>
      <c r="C29">
        <v>9</v>
      </c>
      <c r="D29" t="s">
        <v>388</v>
      </c>
      <c r="E29">
        <v>0</v>
      </c>
      <c r="F29" t="s">
        <v>1451</v>
      </c>
      <c r="G29" t="s">
        <v>118</v>
      </c>
      <c r="H29" t="s">
        <v>117</v>
      </c>
      <c r="I29">
        <v>0.75902405110632598</v>
      </c>
      <c r="J29">
        <v>0.98836918124765905</v>
      </c>
      <c r="K29">
        <v>3</v>
      </c>
      <c r="L29">
        <v>4</v>
      </c>
      <c r="M29">
        <v>502</v>
      </c>
      <c r="N29" t="s">
        <v>753</v>
      </c>
      <c r="O29" t="s">
        <v>1815</v>
      </c>
      <c r="P29">
        <v>797</v>
      </c>
      <c r="Q29">
        <v>474</v>
      </c>
      <c r="R29" t="s">
        <v>3917</v>
      </c>
      <c r="S29" t="s">
        <v>3916</v>
      </c>
    </row>
    <row r="30" spans="1:19" x14ac:dyDescent="0.2">
      <c r="A30" t="s">
        <v>3915</v>
      </c>
      <c r="B30" t="s">
        <v>3914</v>
      </c>
      <c r="C30">
        <v>13</v>
      </c>
      <c r="D30" t="s">
        <v>363</v>
      </c>
      <c r="E30">
        <v>0</v>
      </c>
      <c r="F30" t="s">
        <v>3913</v>
      </c>
      <c r="G30" t="s">
        <v>109</v>
      </c>
      <c r="H30" t="s">
        <v>117</v>
      </c>
      <c r="M30">
        <v>502</v>
      </c>
      <c r="N30" t="s">
        <v>2082</v>
      </c>
      <c r="O30" t="s">
        <v>2081</v>
      </c>
      <c r="P30">
        <v>935</v>
      </c>
      <c r="Q30">
        <v>571</v>
      </c>
      <c r="R30" t="s">
        <v>3912</v>
      </c>
      <c r="S30" t="s">
        <v>3911</v>
      </c>
    </row>
    <row r="31" spans="1:19" x14ac:dyDescent="0.2">
      <c r="A31" t="s">
        <v>3910</v>
      </c>
      <c r="B31" t="s">
        <v>3909</v>
      </c>
      <c r="C31">
        <v>11</v>
      </c>
      <c r="D31" t="s">
        <v>363</v>
      </c>
      <c r="E31">
        <v>0</v>
      </c>
      <c r="F31" t="s">
        <v>3908</v>
      </c>
      <c r="G31" t="s">
        <v>118</v>
      </c>
      <c r="H31" t="s">
        <v>117</v>
      </c>
      <c r="I31">
        <v>0.92580702028769402</v>
      </c>
      <c r="J31">
        <v>0.98024126489625596</v>
      </c>
      <c r="K31">
        <v>10</v>
      </c>
      <c r="L31">
        <v>3</v>
      </c>
      <c r="M31">
        <v>500</v>
      </c>
      <c r="N31" t="s">
        <v>2082</v>
      </c>
      <c r="O31" t="s">
        <v>2081</v>
      </c>
      <c r="P31">
        <v>14078</v>
      </c>
      <c r="Q31">
        <v>60468</v>
      </c>
      <c r="R31" t="s">
        <v>3907</v>
      </c>
      <c r="S31" t="s">
        <v>3906</v>
      </c>
    </row>
    <row r="32" spans="1:19" x14ac:dyDescent="0.2">
      <c r="A32" t="s">
        <v>3905</v>
      </c>
      <c r="B32" t="s">
        <v>3904</v>
      </c>
      <c r="C32">
        <v>13</v>
      </c>
      <c r="D32" t="s">
        <v>111</v>
      </c>
      <c r="E32">
        <v>0</v>
      </c>
      <c r="F32" t="s">
        <v>3903</v>
      </c>
      <c r="G32" t="s">
        <v>109</v>
      </c>
      <c r="H32" t="s">
        <v>108</v>
      </c>
      <c r="M32">
        <v>5695</v>
      </c>
      <c r="N32" t="s">
        <v>691</v>
      </c>
      <c r="O32" t="s">
        <v>3897</v>
      </c>
      <c r="P32">
        <v>953</v>
      </c>
      <c r="Q32">
        <v>56751</v>
      </c>
      <c r="R32" t="s">
        <v>3902</v>
      </c>
      <c r="S32" t="s">
        <v>3901</v>
      </c>
    </row>
    <row r="33" spans="1:19" x14ac:dyDescent="0.2">
      <c r="A33" t="s">
        <v>3900</v>
      </c>
      <c r="B33" t="s">
        <v>3899</v>
      </c>
      <c r="C33">
        <v>18</v>
      </c>
      <c r="D33" t="s">
        <v>111</v>
      </c>
      <c r="E33">
        <v>0</v>
      </c>
      <c r="F33" t="s">
        <v>3898</v>
      </c>
      <c r="G33" t="s">
        <v>109</v>
      </c>
      <c r="H33" t="s">
        <v>108</v>
      </c>
      <c r="M33">
        <v>41168</v>
      </c>
      <c r="N33" t="s">
        <v>691</v>
      </c>
      <c r="O33" t="s">
        <v>3897</v>
      </c>
      <c r="P33">
        <v>954</v>
      </c>
      <c r="Q33">
        <v>343472</v>
      </c>
      <c r="R33" t="s">
        <v>3896</v>
      </c>
      <c r="S33" t="s">
        <v>3895</v>
      </c>
    </row>
    <row r="34" spans="1:19" x14ac:dyDescent="0.2">
      <c r="A34" t="s">
        <v>3894</v>
      </c>
      <c r="B34" t="s">
        <v>3893</v>
      </c>
      <c r="C34">
        <v>12</v>
      </c>
      <c r="D34" t="s">
        <v>111</v>
      </c>
      <c r="E34">
        <v>0</v>
      </c>
      <c r="F34" t="s">
        <v>3892</v>
      </c>
      <c r="G34" t="s">
        <v>118</v>
      </c>
      <c r="H34" t="s">
        <v>117</v>
      </c>
      <c r="I34">
        <v>0.60816347273577498</v>
      </c>
      <c r="J34">
        <v>0.83142900264488295</v>
      </c>
      <c r="K34">
        <v>2</v>
      </c>
      <c r="L34">
        <v>2</v>
      </c>
      <c r="M34">
        <v>461</v>
      </c>
      <c r="N34" t="s">
        <v>691</v>
      </c>
      <c r="O34" t="s">
        <v>3886</v>
      </c>
      <c r="P34">
        <v>955</v>
      </c>
      <c r="Q34">
        <v>56033</v>
      </c>
      <c r="R34" t="s">
        <v>3891</v>
      </c>
      <c r="S34" t="s">
        <v>3890</v>
      </c>
    </row>
    <row r="35" spans="1:19" x14ac:dyDescent="0.2">
      <c r="A35" t="s">
        <v>3889</v>
      </c>
      <c r="B35" t="s">
        <v>3888</v>
      </c>
      <c r="C35">
        <v>10</v>
      </c>
      <c r="D35" t="s">
        <v>111</v>
      </c>
      <c r="E35">
        <v>0</v>
      </c>
      <c r="F35" t="s">
        <v>3887</v>
      </c>
      <c r="G35" t="s">
        <v>229</v>
      </c>
      <c r="H35" t="s">
        <v>228</v>
      </c>
      <c r="M35">
        <v>14</v>
      </c>
      <c r="N35" t="s">
        <v>691</v>
      </c>
      <c r="O35" t="s">
        <v>3886</v>
      </c>
      <c r="P35">
        <v>956</v>
      </c>
      <c r="Q35">
        <v>8538</v>
      </c>
      <c r="R35" t="s">
        <v>3885</v>
      </c>
      <c r="S35" t="s">
        <v>3884</v>
      </c>
    </row>
    <row r="36" spans="1:19" x14ac:dyDescent="0.2">
      <c r="A36" t="s">
        <v>3883</v>
      </c>
      <c r="B36" t="s">
        <v>3882</v>
      </c>
      <c r="C36">
        <v>17</v>
      </c>
      <c r="D36" t="s">
        <v>388</v>
      </c>
      <c r="E36">
        <v>0</v>
      </c>
      <c r="F36" t="s">
        <v>3881</v>
      </c>
      <c r="G36" t="s">
        <v>118</v>
      </c>
      <c r="H36" t="s">
        <v>117</v>
      </c>
      <c r="J36">
        <v>0.96333554298496904</v>
      </c>
      <c r="L36">
        <v>5</v>
      </c>
      <c r="M36">
        <v>500</v>
      </c>
      <c r="N36" t="s">
        <v>3872</v>
      </c>
      <c r="O36" t="s">
        <v>3880</v>
      </c>
      <c r="P36">
        <v>28915</v>
      </c>
      <c r="Q36">
        <v>55509</v>
      </c>
      <c r="R36" t="s">
        <v>3879</v>
      </c>
      <c r="S36" t="s">
        <v>3878</v>
      </c>
    </row>
    <row r="37" spans="1:19" x14ac:dyDescent="0.2">
      <c r="A37" t="s">
        <v>3877</v>
      </c>
      <c r="B37" t="s">
        <v>3874</v>
      </c>
      <c r="C37">
        <v>18</v>
      </c>
      <c r="D37" t="s">
        <v>363</v>
      </c>
      <c r="E37">
        <v>0</v>
      </c>
      <c r="F37" t="s">
        <v>3876</v>
      </c>
      <c r="G37" t="s">
        <v>118</v>
      </c>
      <c r="H37" t="s">
        <v>117</v>
      </c>
      <c r="I37">
        <v>0.96321879020209</v>
      </c>
      <c r="J37">
        <v>0.93788743466015501</v>
      </c>
      <c r="K37">
        <v>10</v>
      </c>
      <c r="L37">
        <v>20</v>
      </c>
      <c r="M37">
        <v>500</v>
      </c>
      <c r="N37" t="s">
        <v>3872</v>
      </c>
      <c r="O37" t="s">
        <v>3871</v>
      </c>
      <c r="P37">
        <v>958</v>
      </c>
      <c r="Q37">
        <v>10538</v>
      </c>
      <c r="R37" t="s">
        <v>3870</v>
      </c>
      <c r="S37" t="s">
        <v>3869</v>
      </c>
    </row>
    <row r="38" spans="1:19" x14ac:dyDescent="0.2">
      <c r="A38" t="s">
        <v>3875</v>
      </c>
      <c r="B38" t="s">
        <v>3874</v>
      </c>
      <c r="C38">
        <v>11</v>
      </c>
      <c r="D38" t="s">
        <v>363</v>
      </c>
      <c r="E38">
        <v>1</v>
      </c>
      <c r="F38" t="s">
        <v>3873</v>
      </c>
      <c r="G38" t="s">
        <v>118</v>
      </c>
      <c r="H38" t="s">
        <v>117</v>
      </c>
      <c r="I38">
        <v>0.890313627853906</v>
      </c>
      <c r="J38">
        <v>0.85612824756344896</v>
      </c>
      <c r="K38">
        <v>10</v>
      </c>
      <c r="L38">
        <v>20</v>
      </c>
      <c r="M38">
        <v>500</v>
      </c>
      <c r="N38" t="s">
        <v>3872</v>
      </c>
      <c r="O38" t="s">
        <v>3871</v>
      </c>
      <c r="P38">
        <v>958</v>
      </c>
      <c r="Q38">
        <v>10538</v>
      </c>
      <c r="R38" t="s">
        <v>3870</v>
      </c>
      <c r="S38" t="s">
        <v>3869</v>
      </c>
    </row>
    <row r="39" spans="1:19" x14ac:dyDescent="0.2">
      <c r="A39" t="s">
        <v>3868</v>
      </c>
      <c r="B39" t="s">
        <v>3867</v>
      </c>
      <c r="C39">
        <v>17</v>
      </c>
      <c r="D39" t="s">
        <v>363</v>
      </c>
      <c r="E39">
        <v>0</v>
      </c>
      <c r="F39" t="s">
        <v>3866</v>
      </c>
      <c r="G39" t="s">
        <v>109</v>
      </c>
      <c r="H39" t="s">
        <v>117</v>
      </c>
      <c r="I39">
        <v>0.89958468147106896</v>
      </c>
      <c r="K39">
        <v>10</v>
      </c>
      <c r="M39">
        <v>500</v>
      </c>
      <c r="N39" t="s">
        <v>137</v>
      </c>
      <c r="O39" t="s">
        <v>3865</v>
      </c>
      <c r="P39">
        <v>13221</v>
      </c>
      <c r="Q39">
        <v>53335</v>
      </c>
      <c r="R39" t="s">
        <v>3864</v>
      </c>
      <c r="S39" t="s">
        <v>3863</v>
      </c>
    </row>
    <row r="40" spans="1:19" x14ac:dyDescent="0.2">
      <c r="A40" t="s">
        <v>3862</v>
      </c>
      <c r="B40" t="s">
        <v>3861</v>
      </c>
      <c r="C40">
        <v>11</v>
      </c>
      <c r="D40" t="s">
        <v>111</v>
      </c>
      <c r="E40">
        <v>0</v>
      </c>
      <c r="F40" t="s">
        <v>3860</v>
      </c>
      <c r="G40" t="s">
        <v>109</v>
      </c>
      <c r="H40" t="s">
        <v>108</v>
      </c>
      <c r="M40">
        <v>66</v>
      </c>
      <c r="N40" t="s">
        <v>107</v>
      </c>
      <c r="O40" t="s">
        <v>3854</v>
      </c>
      <c r="P40">
        <v>1002</v>
      </c>
      <c r="Q40">
        <v>255877</v>
      </c>
      <c r="R40" t="s">
        <v>3859</v>
      </c>
      <c r="S40" t="s">
        <v>3858</v>
      </c>
    </row>
    <row r="41" spans="1:19" x14ac:dyDescent="0.2">
      <c r="A41" t="s">
        <v>3857</v>
      </c>
      <c r="B41" t="s">
        <v>3856</v>
      </c>
      <c r="C41">
        <v>13</v>
      </c>
      <c r="D41" t="s">
        <v>363</v>
      </c>
      <c r="E41">
        <v>0</v>
      </c>
      <c r="F41" t="s">
        <v>3855</v>
      </c>
      <c r="G41" t="s">
        <v>118</v>
      </c>
      <c r="H41" t="s">
        <v>117</v>
      </c>
      <c r="I41">
        <v>0.80230347182361805</v>
      </c>
      <c r="J41">
        <v>0.873591778187085</v>
      </c>
      <c r="K41">
        <v>27</v>
      </c>
      <c r="L41">
        <v>11</v>
      </c>
      <c r="M41">
        <v>500</v>
      </c>
      <c r="N41" t="s">
        <v>107</v>
      </c>
      <c r="O41" t="s">
        <v>3854</v>
      </c>
      <c r="P41">
        <v>1001</v>
      </c>
      <c r="Q41">
        <v>604</v>
      </c>
      <c r="R41" t="s">
        <v>3853</v>
      </c>
      <c r="S41" t="s">
        <v>3852</v>
      </c>
    </row>
    <row r="42" spans="1:19" x14ac:dyDescent="0.2">
      <c r="A42" t="s">
        <v>3851</v>
      </c>
      <c r="B42" t="s">
        <v>3850</v>
      </c>
      <c r="C42">
        <v>11</v>
      </c>
      <c r="D42" t="s">
        <v>388</v>
      </c>
      <c r="E42">
        <v>0</v>
      </c>
      <c r="F42" t="s">
        <v>3849</v>
      </c>
      <c r="G42" t="s">
        <v>118</v>
      </c>
      <c r="H42" t="s">
        <v>117</v>
      </c>
      <c r="J42">
        <v>0.98809676026306004</v>
      </c>
      <c r="L42">
        <v>6</v>
      </c>
      <c r="M42">
        <v>500</v>
      </c>
      <c r="N42" t="s">
        <v>753</v>
      </c>
      <c r="O42" t="s">
        <v>1815</v>
      </c>
      <c r="P42">
        <v>22265</v>
      </c>
      <c r="Q42">
        <v>168620</v>
      </c>
      <c r="R42" t="s">
        <v>3848</v>
      </c>
      <c r="S42" t="s">
        <v>3847</v>
      </c>
    </row>
    <row r="43" spans="1:19" x14ac:dyDescent="0.2">
      <c r="A43" t="s">
        <v>3846</v>
      </c>
      <c r="B43" t="s">
        <v>3845</v>
      </c>
      <c r="C43">
        <v>13</v>
      </c>
      <c r="D43" t="s">
        <v>111</v>
      </c>
      <c r="E43">
        <v>0</v>
      </c>
      <c r="F43" t="s">
        <v>3844</v>
      </c>
      <c r="G43" t="s">
        <v>109</v>
      </c>
      <c r="H43" t="s">
        <v>108</v>
      </c>
      <c r="M43">
        <v>2250</v>
      </c>
      <c r="N43" t="s">
        <v>753</v>
      </c>
      <c r="O43" t="s">
        <v>1815</v>
      </c>
      <c r="P43">
        <v>11963</v>
      </c>
      <c r="Q43">
        <v>27319</v>
      </c>
      <c r="R43" t="s">
        <v>3843</v>
      </c>
      <c r="S43" t="s">
        <v>3842</v>
      </c>
    </row>
    <row r="44" spans="1:19" x14ac:dyDescent="0.2">
      <c r="A44" t="s">
        <v>3841</v>
      </c>
      <c r="B44" t="s">
        <v>3840</v>
      </c>
      <c r="C44">
        <v>12</v>
      </c>
      <c r="D44" t="s">
        <v>111</v>
      </c>
      <c r="E44">
        <v>0</v>
      </c>
      <c r="F44" t="s">
        <v>3839</v>
      </c>
      <c r="G44" t="s">
        <v>109</v>
      </c>
      <c r="H44" t="s">
        <v>108</v>
      </c>
      <c r="M44">
        <v>394</v>
      </c>
      <c r="N44" t="s">
        <v>753</v>
      </c>
      <c r="O44" t="s">
        <v>1815</v>
      </c>
      <c r="P44">
        <v>16093</v>
      </c>
      <c r="Q44">
        <v>128408</v>
      </c>
      <c r="R44" t="s">
        <v>3838</v>
      </c>
      <c r="S44" t="s">
        <v>3837</v>
      </c>
    </row>
    <row r="45" spans="1:19" x14ac:dyDescent="0.2">
      <c r="A45" t="s">
        <v>3836</v>
      </c>
      <c r="B45" t="s">
        <v>3835</v>
      </c>
      <c r="C45">
        <v>10</v>
      </c>
      <c r="D45" t="s">
        <v>363</v>
      </c>
      <c r="E45">
        <v>0</v>
      </c>
      <c r="F45" t="s">
        <v>3834</v>
      </c>
      <c r="G45" t="s">
        <v>118</v>
      </c>
      <c r="H45" t="s">
        <v>117</v>
      </c>
      <c r="I45">
        <v>0.85472299489721004</v>
      </c>
      <c r="J45">
        <v>0.95342176358975905</v>
      </c>
      <c r="K45">
        <v>10</v>
      </c>
      <c r="L45">
        <v>5</v>
      </c>
      <c r="M45">
        <v>508</v>
      </c>
      <c r="N45" t="s">
        <v>2947</v>
      </c>
      <c r="O45" t="s">
        <v>2946</v>
      </c>
      <c r="P45">
        <v>1046</v>
      </c>
      <c r="Q45">
        <v>8553</v>
      </c>
      <c r="R45" t="s">
        <v>3833</v>
      </c>
      <c r="S45" t="s">
        <v>3832</v>
      </c>
    </row>
    <row r="46" spans="1:19" x14ac:dyDescent="0.2">
      <c r="A46" t="s">
        <v>3831</v>
      </c>
      <c r="B46" t="s">
        <v>3830</v>
      </c>
      <c r="C46">
        <v>20</v>
      </c>
      <c r="D46" t="s">
        <v>111</v>
      </c>
      <c r="E46">
        <v>0</v>
      </c>
      <c r="F46" t="s">
        <v>3829</v>
      </c>
      <c r="G46" t="s">
        <v>229</v>
      </c>
      <c r="H46" t="s">
        <v>228</v>
      </c>
      <c r="M46">
        <v>10</v>
      </c>
      <c r="N46" t="s">
        <v>2947</v>
      </c>
      <c r="O46" t="s">
        <v>2946</v>
      </c>
      <c r="P46">
        <v>16617</v>
      </c>
      <c r="Q46">
        <v>79365</v>
      </c>
      <c r="R46" t="s">
        <v>3828</v>
      </c>
      <c r="S46" t="s">
        <v>3827</v>
      </c>
    </row>
    <row r="47" spans="1:19" x14ac:dyDescent="0.2">
      <c r="A47" t="s">
        <v>3826</v>
      </c>
      <c r="B47" t="s">
        <v>3825</v>
      </c>
      <c r="C47">
        <v>11</v>
      </c>
      <c r="D47" t="s">
        <v>363</v>
      </c>
      <c r="E47">
        <v>0</v>
      </c>
      <c r="F47" t="s">
        <v>3824</v>
      </c>
      <c r="G47" t="s">
        <v>118</v>
      </c>
      <c r="H47" t="s">
        <v>117</v>
      </c>
      <c r="I47">
        <v>0.86415613517611001</v>
      </c>
      <c r="J47">
        <v>0.87506916977139704</v>
      </c>
      <c r="K47">
        <v>18</v>
      </c>
      <c r="L47">
        <v>15</v>
      </c>
      <c r="M47">
        <v>410</v>
      </c>
      <c r="N47" t="s">
        <v>2929</v>
      </c>
      <c r="O47" t="s">
        <v>3743</v>
      </c>
      <c r="P47">
        <v>701</v>
      </c>
      <c r="Q47">
        <v>406</v>
      </c>
      <c r="R47" t="s">
        <v>3823</v>
      </c>
      <c r="S47" t="s">
        <v>3822</v>
      </c>
    </row>
    <row r="48" spans="1:19" x14ac:dyDescent="0.2">
      <c r="A48" t="s">
        <v>3821</v>
      </c>
      <c r="B48" t="s">
        <v>3820</v>
      </c>
      <c r="C48">
        <v>12</v>
      </c>
      <c r="D48" t="s">
        <v>111</v>
      </c>
      <c r="E48">
        <v>0</v>
      </c>
      <c r="F48" t="s">
        <v>3819</v>
      </c>
      <c r="G48" t="s">
        <v>229</v>
      </c>
      <c r="H48" t="s">
        <v>228</v>
      </c>
      <c r="M48">
        <v>21</v>
      </c>
      <c r="P48">
        <v>3581</v>
      </c>
      <c r="Q48">
        <v>2186</v>
      </c>
      <c r="R48" t="s">
        <v>3818</v>
      </c>
      <c r="S48" t="s">
        <v>3817</v>
      </c>
    </row>
    <row r="49" spans="1:19" x14ac:dyDescent="0.2">
      <c r="A49" t="s">
        <v>3816</v>
      </c>
      <c r="B49" t="s">
        <v>3813</v>
      </c>
      <c r="C49">
        <v>20</v>
      </c>
      <c r="D49" t="s">
        <v>363</v>
      </c>
      <c r="E49">
        <v>0</v>
      </c>
      <c r="F49" t="s">
        <v>3815</v>
      </c>
      <c r="G49" t="s">
        <v>118</v>
      </c>
      <c r="H49" t="s">
        <v>117</v>
      </c>
      <c r="I49">
        <v>0.835236927046628</v>
      </c>
      <c r="J49">
        <v>0.81776071987131504</v>
      </c>
      <c r="K49">
        <v>9</v>
      </c>
      <c r="L49">
        <v>10</v>
      </c>
      <c r="M49">
        <v>500</v>
      </c>
      <c r="N49" t="s">
        <v>951</v>
      </c>
      <c r="O49" t="s">
        <v>3811</v>
      </c>
      <c r="P49">
        <v>11515</v>
      </c>
      <c r="Q49">
        <v>6862</v>
      </c>
      <c r="R49" t="s">
        <v>3810</v>
      </c>
      <c r="S49" t="s">
        <v>3809</v>
      </c>
    </row>
    <row r="50" spans="1:19" x14ac:dyDescent="0.2">
      <c r="A50" t="s">
        <v>3814</v>
      </c>
      <c r="B50" t="s">
        <v>3813</v>
      </c>
      <c r="C50">
        <v>11</v>
      </c>
      <c r="D50" t="s">
        <v>388</v>
      </c>
      <c r="E50">
        <v>1</v>
      </c>
      <c r="F50" t="s">
        <v>3812</v>
      </c>
      <c r="G50" t="s">
        <v>118</v>
      </c>
      <c r="H50" t="s">
        <v>117</v>
      </c>
      <c r="I50">
        <v>0.80018284722725397</v>
      </c>
      <c r="J50">
        <v>0.75720607804521001</v>
      </c>
      <c r="K50">
        <v>9</v>
      </c>
      <c r="L50">
        <v>10</v>
      </c>
      <c r="M50">
        <v>500</v>
      </c>
      <c r="N50" t="s">
        <v>951</v>
      </c>
      <c r="O50" t="s">
        <v>3811</v>
      </c>
      <c r="P50">
        <v>11515</v>
      </c>
      <c r="Q50">
        <v>6862</v>
      </c>
      <c r="R50" t="s">
        <v>3810</v>
      </c>
      <c r="S50" t="s">
        <v>3809</v>
      </c>
    </row>
    <row r="51" spans="1:19" x14ac:dyDescent="0.2">
      <c r="A51" t="s">
        <v>3808</v>
      </c>
      <c r="B51" t="s">
        <v>3807</v>
      </c>
      <c r="C51">
        <v>9</v>
      </c>
      <c r="D51" t="s">
        <v>111</v>
      </c>
      <c r="E51">
        <v>0</v>
      </c>
      <c r="F51" t="s">
        <v>3806</v>
      </c>
      <c r="G51" t="s">
        <v>229</v>
      </c>
      <c r="H51" t="s">
        <v>228</v>
      </c>
      <c r="M51">
        <v>72</v>
      </c>
      <c r="P51">
        <v>1100</v>
      </c>
      <c r="Q51">
        <v>672</v>
      </c>
      <c r="R51" t="s">
        <v>3805</v>
      </c>
      <c r="S51" t="s">
        <v>3804</v>
      </c>
    </row>
    <row r="52" spans="1:19" x14ac:dyDescent="0.2">
      <c r="A52" t="s">
        <v>3803</v>
      </c>
      <c r="B52" t="s">
        <v>3802</v>
      </c>
      <c r="C52">
        <v>14</v>
      </c>
      <c r="D52" t="s">
        <v>111</v>
      </c>
      <c r="E52">
        <v>0</v>
      </c>
      <c r="F52" t="s">
        <v>3801</v>
      </c>
      <c r="G52" t="s">
        <v>109</v>
      </c>
      <c r="H52" t="s">
        <v>108</v>
      </c>
      <c r="M52">
        <v>8218</v>
      </c>
      <c r="N52" t="s">
        <v>691</v>
      </c>
      <c r="O52" t="s">
        <v>3800</v>
      </c>
      <c r="P52">
        <v>20450</v>
      </c>
      <c r="Q52">
        <v>390259</v>
      </c>
      <c r="R52" t="s">
        <v>3799</v>
      </c>
      <c r="S52" t="s">
        <v>3798</v>
      </c>
    </row>
    <row r="53" spans="1:19" x14ac:dyDescent="0.2">
      <c r="A53" t="s">
        <v>3797</v>
      </c>
      <c r="B53" t="s">
        <v>3796</v>
      </c>
      <c r="C53">
        <v>15</v>
      </c>
      <c r="D53" t="s">
        <v>111</v>
      </c>
      <c r="E53">
        <v>0</v>
      </c>
      <c r="F53" t="s">
        <v>3795</v>
      </c>
      <c r="G53" t="s">
        <v>229</v>
      </c>
      <c r="H53" t="s">
        <v>228</v>
      </c>
      <c r="M53">
        <v>10</v>
      </c>
      <c r="N53" t="s">
        <v>1226</v>
      </c>
      <c r="O53" t="s">
        <v>2189</v>
      </c>
      <c r="P53">
        <v>1743</v>
      </c>
      <c r="Q53">
        <v>988</v>
      </c>
      <c r="R53" t="s">
        <v>3794</v>
      </c>
      <c r="S53" t="s">
        <v>3793</v>
      </c>
    </row>
    <row r="54" spans="1:19" x14ac:dyDescent="0.2">
      <c r="A54" t="s">
        <v>3792</v>
      </c>
      <c r="B54" t="s">
        <v>3791</v>
      </c>
      <c r="C54">
        <v>8</v>
      </c>
      <c r="D54" t="s">
        <v>120</v>
      </c>
      <c r="E54">
        <v>0</v>
      </c>
      <c r="F54" t="s">
        <v>3790</v>
      </c>
      <c r="G54" t="s">
        <v>229</v>
      </c>
      <c r="H54" t="s">
        <v>228</v>
      </c>
      <c r="M54">
        <v>30</v>
      </c>
      <c r="N54" t="s">
        <v>1660</v>
      </c>
      <c r="O54" t="s">
        <v>3784</v>
      </c>
      <c r="P54">
        <v>1805</v>
      </c>
      <c r="Q54">
        <v>1044</v>
      </c>
      <c r="R54" t="s">
        <v>3789</v>
      </c>
      <c r="S54" t="s">
        <v>3788</v>
      </c>
    </row>
    <row r="55" spans="1:19" x14ac:dyDescent="0.2">
      <c r="A55" t="s">
        <v>3787</v>
      </c>
      <c r="B55" t="s">
        <v>3786</v>
      </c>
      <c r="C55">
        <v>12</v>
      </c>
      <c r="D55" t="s">
        <v>363</v>
      </c>
      <c r="E55">
        <v>0</v>
      </c>
      <c r="F55" t="s">
        <v>3785</v>
      </c>
      <c r="G55" t="s">
        <v>118</v>
      </c>
      <c r="H55" t="s">
        <v>117</v>
      </c>
      <c r="I55">
        <v>0.92304956541808303</v>
      </c>
      <c r="J55">
        <v>0.98211673663156096</v>
      </c>
      <c r="K55">
        <v>13</v>
      </c>
      <c r="L55">
        <v>23</v>
      </c>
      <c r="M55">
        <v>151</v>
      </c>
      <c r="N55" t="s">
        <v>1660</v>
      </c>
      <c r="O55" t="s">
        <v>3784</v>
      </c>
      <c r="P55">
        <v>1806</v>
      </c>
      <c r="Q55">
        <v>1045</v>
      </c>
      <c r="R55" t="s">
        <v>3783</v>
      </c>
      <c r="S55" t="s">
        <v>3782</v>
      </c>
    </row>
    <row r="56" spans="1:19" x14ac:dyDescent="0.2">
      <c r="A56" t="s">
        <v>3781</v>
      </c>
      <c r="B56" t="s">
        <v>3780</v>
      </c>
      <c r="C56">
        <v>12</v>
      </c>
      <c r="D56" t="s">
        <v>363</v>
      </c>
      <c r="E56">
        <v>0</v>
      </c>
      <c r="F56" t="s">
        <v>3779</v>
      </c>
      <c r="G56" t="s">
        <v>118</v>
      </c>
      <c r="H56" t="s">
        <v>117</v>
      </c>
      <c r="I56">
        <v>0.983375891659651</v>
      </c>
      <c r="J56">
        <v>0.99050255167532597</v>
      </c>
      <c r="K56">
        <v>18</v>
      </c>
      <c r="L56">
        <v>153</v>
      </c>
      <c r="M56">
        <v>500</v>
      </c>
      <c r="N56" t="s">
        <v>869</v>
      </c>
      <c r="O56" t="s">
        <v>3640</v>
      </c>
      <c r="P56">
        <v>1833</v>
      </c>
      <c r="Q56">
        <v>1050</v>
      </c>
      <c r="R56" t="s">
        <v>3778</v>
      </c>
      <c r="S56" t="s">
        <v>3777</v>
      </c>
    </row>
    <row r="57" spans="1:19" x14ac:dyDescent="0.2">
      <c r="A57" t="s">
        <v>3776</v>
      </c>
      <c r="B57" t="s">
        <v>3775</v>
      </c>
      <c r="C57">
        <v>12</v>
      </c>
      <c r="D57" t="s">
        <v>363</v>
      </c>
      <c r="E57">
        <v>0</v>
      </c>
      <c r="F57" t="s">
        <v>3774</v>
      </c>
      <c r="G57" t="s">
        <v>118</v>
      </c>
      <c r="H57" t="s">
        <v>117</v>
      </c>
      <c r="I57">
        <v>0.98145315802316901</v>
      </c>
      <c r="J57">
        <v>0.98531042535475699</v>
      </c>
      <c r="K57">
        <v>65</v>
      </c>
      <c r="L57">
        <v>158</v>
      </c>
      <c r="M57">
        <v>457</v>
      </c>
      <c r="N57" t="s">
        <v>869</v>
      </c>
      <c r="O57" t="s">
        <v>3640</v>
      </c>
      <c r="P57">
        <v>1834</v>
      </c>
      <c r="Q57">
        <v>1051</v>
      </c>
      <c r="R57" t="s">
        <v>3773</v>
      </c>
      <c r="S57" t="s">
        <v>3772</v>
      </c>
    </row>
    <row r="58" spans="1:19" x14ac:dyDescent="0.2">
      <c r="A58" t="s">
        <v>3771</v>
      </c>
      <c r="B58" t="s">
        <v>3770</v>
      </c>
      <c r="C58">
        <v>11</v>
      </c>
      <c r="D58" t="s">
        <v>120</v>
      </c>
      <c r="E58">
        <v>0</v>
      </c>
      <c r="F58" t="s">
        <v>3769</v>
      </c>
      <c r="G58" t="s">
        <v>118</v>
      </c>
      <c r="H58" t="s">
        <v>117</v>
      </c>
      <c r="I58">
        <v>0.83078732289622603</v>
      </c>
      <c r="K58">
        <v>10</v>
      </c>
      <c r="M58">
        <v>500</v>
      </c>
      <c r="N58" t="s">
        <v>869</v>
      </c>
      <c r="O58" t="s">
        <v>3640</v>
      </c>
      <c r="P58">
        <v>1835</v>
      </c>
      <c r="Q58">
        <v>1052</v>
      </c>
      <c r="R58" t="s">
        <v>3768</v>
      </c>
      <c r="S58" t="s">
        <v>3767</v>
      </c>
    </row>
    <row r="59" spans="1:19" x14ac:dyDescent="0.2">
      <c r="A59" t="s">
        <v>3766</v>
      </c>
      <c r="B59" t="s">
        <v>3765</v>
      </c>
      <c r="C59">
        <v>12</v>
      </c>
      <c r="D59" t="s">
        <v>363</v>
      </c>
      <c r="E59">
        <v>0</v>
      </c>
      <c r="F59" t="s">
        <v>3764</v>
      </c>
      <c r="G59" t="s">
        <v>229</v>
      </c>
      <c r="H59" t="s">
        <v>228</v>
      </c>
      <c r="M59">
        <v>803</v>
      </c>
      <c r="N59" t="s">
        <v>869</v>
      </c>
      <c r="O59" t="s">
        <v>3640</v>
      </c>
      <c r="P59">
        <v>1836</v>
      </c>
      <c r="Q59">
        <v>1053</v>
      </c>
      <c r="R59" t="s">
        <v>3763</v>
      </c>
      <c r="S59" t="s">
        <v>3762</v>
      </c>
    </row>
    <row r="60" spans="1:19" x14ac:dyDescent="0.2">
      <c r="A60" t="s">
        <v>3761</v>
      </c>
      <c r="B60" t="s">
        <v>3760</v>
      </c>
      <c r="C60">
        <v>12</v>
      </c>
      <c r="D60" t="s">
        <v>388</v>
      </c>
      <c r="E60">
        <v>0</v>
      </c>
      <c r="F60" t="s">
        <v>3759</v>
      </c>
      <c r="G60" t="s">
        <v>118</v>
      </c>
      <c r="H60" t="s">
        <v>117</v>
      </c>
      <c r="I60">
        <v>0.73813042982246402</v>
      </c>
      <c r="J60">
        <v>0.97173163834518705</v>
      </c>
      <c r="K60">
        <v>2</v>
      </c>
      <c r="L60">
        <v>4</v>
      </c>
      <c r="M60">
        <v>501</v>
      </c>
      <c r="N60" t="s">
        <v>869</v>
      </c>
      <c r="O60" t="s">
        <v>3640</v>
      </c>
      <c r="P60">
        <v>1837</v>
      </c>
      <c r="Q60">
        <v>1054</v>
      </c>
      <c r="R60" t="s">
        <v>3758</v>
      </c>
      <c r="S60" t="s">
        <v>3757</v>
      </c>
    </row>
    <row r="61" spans="1:19" x14ac:dyDescent="0.2">
      <c r="A61" t="s">
        <v>3756</v>
      </c>
      <c r="B61" t="s">
        <v>3755</v>
      </c>
      <c r="C61">
        <v>11</v>
      </c>
      <c r="D61" t="s">
        <v>111</v>
      </c>
      <c r="E61">
        <v>0</v>
      </c>
      <c r="F61" t="s">
        <v>3754</v>
      </c>
      <c r="G61" t="s">
        <v>229</v>
      </c>
      <c r="H61" t="s">
        <v>228</v>
      </c>
      <c r="M61">
        <v>28</v>
      </c>
      <c r="P61">
        <v>24218</v>
      </c>
      <c r="Q61">
        <v>10153</v>
      </c>
      <c r="R61" t="s">
        <v>3753</v>
      </c>
      <c r="S61" t="s">
        <v>3752</v>
      </c>
    </row>
    <row r="62" spans="1:19" x14ac:dyDescent="0.2">
      <c r="A62" t="s">
        <v>3751</v>
      </c>
      <c r="B62" t="s">
        <v>3750</v>
      </c>
      <c r="C62">
        <v>17</v>
      </c>
      <c r="D62" t="s">
        <v>111</v>
      </c>
      <c r="E62">
        <v>0</v>
      </c>
      <c r="F62" t="s">
        <v>3749</v>
      </c>
      <c r="G62" t="s">
        <v>109</v>
      </c>
      <c r="H62" t="s">
        <v>108</v>
      </c>
      <c r="M62">
        <v>2219</v>
      </c>
      <c r="P62">
        <v>1852</v>
      </c>
      <c r="Q62">
        <v>1059</v>
      </c>
      <c r="R62" t="s">
        <v>3748</v>
      </c>
      <c r="S62" t="s">
        <v>3747</v>
      </c>
    </row>
    <row r="63" spans="1:19" x14ac:dyDescent="0.2">
      <c r="A63" t="s">
        <v>3746</v>
      </c>
      <c r="B63" t="s">
        <v>3745</v>
      </c>
      <c r="C63">
        <v>14</v>
      </c>
      <c r="D63" t="s">
        <v>120</v>
      </c>
      <c r="E63">
        <v>0</v>
      </c>
      <c r="F63" t="s">
        <v>3744</v>
      </c>
      <c r="G63" t="s">
        <v>118</v>
      </c>
      <c r="H63" t="s">
        <v>117</v>
      </c>
      <c r="I63">
        <v>0.65821846974132903</v>
      </c>
      <c r="J63">
        <v>0.73453480640284297</v>
      </c>
      <c r="K63">
        <v>5</v>
      </c>
      <c r="L63">
        <v>22</v>
      </c>
      <c r="M63">
        <v>253</v>
      </c>
      <c r="N63" t="s">
        <v>2929</v>
      </c>
      <c r="O63" t="s">
        <v>3743</v>
      </c>
      <c r="P63">
        <v>2082</v>
      </c>
      <c r="Q63">
        <v>9575</v>
      </c>
      <c r="R63" t="s">
        <v>3742</v>
      </c>
      <c r="S63" t="s">
        <v>3741</v>
      </c>
    </row>
    <row r="64" spans="1:19" x14ac:dyDescent="0.2">
      <c r="A64" t="s">
        <v>3740</v>
      </c>
      <c r="B64" t="s">
        <v>3739</v>
      </c>
      <c r="C64">
        <v>15</v>
      </c>
      <c r="D64" t="s">
        <v>363</v>
      </c>
      <c r="E64">
        <v>0</v>
      </c>
      <c r="F64" t="s">
        <v>3738</v>
      </c>
      <c r="G64" t="s">
        <v>118</v>
      </c>
      <c r="H64" t="s">
        <v>117</v>
      </c>
      <c r="I64">
        <v>0.99417685240091103</v>
      </c>
      <c r="J64">
        <v>0.992194616483698</v>
      </c>
      <c r="K64">
        <v>17</v>
      </c>
      <c r="L64">
        <v>55</v>
      </c>
      <c r="M64">
        <v>500</v>
      </c>
      <c r="N64" t="s">
        <v>3737</v>
      </c>
      <c r="O64" t="s">
        <v>3736</v>
      </c>
      <c r="P64">
        <v>3126</v>
      </c>
      <c r="Q64">
        <v>1879</v>
      </c>
      <c r="R64" t="s">
        <v>3735</v>
      </c>
      <c r="S64" t="s">
        <v>3734</v>
      </c>
    </row>
    <row r="65" spans="1:19" x14ac:dyDescent="0.2">
      <c r="A65" t="s">
        <v>3733</v>
      </c>
      <c r="B65" t="s">
        <v>3730</v>
      </c>
      <c r="C65">
        <v>17</v>
      </c>
      <c r="D65" t="s">
        <v>120</v>
      </c>
      <c r="E65">
        <v>0</v>
      </c>
      <c r="F65" t="s">
        <v>3732</v>
      </c>
      <c r="G65" t="s">
        <v>118</v>
      </c>
      <c r="H65" t="s">
        <v>117</v>
      </c>
      <c r="I65">
        <v>0.87928937121039297</v>
      </c>
      <c r="K65">
        <v>3</v>
      </c>
      <c r="M65">
        <v>501</v>
      </c>
      <c r="N65" t="s">
        <v>1304</v>
      </c>
      <c r="O65" t="s">
        <v>1878</v>
      </c>
      <c r="P65">
        <v>7975</v>
      </c>
      <c r="Q65">
        <v>7025</v>
      </c>
      <c r="R65" t="s">
        <v>3728</v>
      </c>
      <c r="S65" t="s">
        <v>3727</v>
      </c>
    </row>
    <row r="66" spans="1:19" x14ac:dyDescent="0.2">
      <c r="A66" t="s">
        <v>3731</v>
      </c>
      <c r="B66" t="s">
        <v>3730</v>
      </c>
      <c r="C66">
        <v>13</v>
      </c>
      <c r="D66" t="s">
        <v>120</v>
      </c>
      <c r="E66">
        <v>1</v>
      </c>
      <c r="F66" t="s">
        <v>3729</v>
      </c>
      <c r="G66" t="s">
        <v>118</v>
      </c>
      <c r="H66" t="s">
        <v>117</v>
      </c>
      <c r="I66">
        <v>0.85115671790585901</v>
      </c>
      <c r="K66">
        <v>3</v>
      </c>
      <c r="M66">
        <v>478</v>
      </c>
      <c r="N66" t="s">
        <v>1304</v>
      </c>
      <c r="O66" t="s">
        <v>1878</v>
      </c>
      <c r="P66">
        <v>7975</v>
      </c>
      <c r="Q66">
        <v>7025</v>
      </c>
      <c r="R66" t="s">
        <v>3728</v>
      </c>
      <c r="S66" t="s">
        <v>3727</v>
      </c>
    </row>
    <row r="67" spans="1:19" x14ac:dyDescent="0.2">
      <c r="A67" t="s">
        <v>3726</v>
      </c>
      <c r="B67" t="s">
        <v>3723</v>
      </c>
      <c r="C67">
        <v>13</v>
      </c>
      <c r="D67" t="s">
        <v>363</v>
      </c>
      <c r="E67">
        <v>0</v>
      </c>
      <c r="F67" t="s">
        <v>3725</v>
      </c>
      <c r="G67" t="s">
        <v>109</v>
      </c>
      <c r="H67" t="s">
        <v>117</v>
      </c>
      <c r="I67">
        <v>0.93373049812082398</v>
      </c>
      <c r="J67">
        <v>0.83341543174675203</v>
      </c>
      <c r="K67">
        <v>28</v>
      </c>
      <c r="L67">
        <v>3</v>
      </c>
      <c r="M67">
        <v>509</v>
      </c>
      <c r="N67" t="s">
        <v>1304</v>
      </c>
      <c r="O67" t="s">
        <v>1878</v>
      </c>
      <c r="P67">
        <v>7976</v>
      </c>
      <c r="Q67">
        <v>7026</v>
      </c>
      <c r="R67" t="s">
        <v>3721</v>
      </c>
      <c r="S67" t="s">
        <v>3720</v>
      </c>
    </row>
    <row r="68" spans="1:19" x14ac:dyDescent="0.2">
      <c r="A68" t="s">
        <v>3724</v>
      </c>
      <c r="B68" t="s">
        <v>3723</v>
      </c>
      <c r="C68">
        <v>17</v>
      </c>
      <c r="D68" t="s">
        <v>363</v>
      </c>
      <c r="E68">
        <v>1</v>
      </c>
      <c r="F68" t="s">
        <v>3722</v>
      </c>
      <c r="G68" t="s">
        <v>118</v>
      </c>
      <c r="H68" t="s">
        <v>117</v>
      </c>
      <c r="I68">
        <v>0.91520818367881995</v>
      </c>
      <c r="J68">
        <v>0.73199671666894095</v>
      </c>
      <c r="K68">
        <v>28</v>
      </c>
      <c r="L68">
        <v>3</v>
      </c>
      <c r="M68">
        <v>503</v>
      </c>
      <c r="N68" t="s">
        <v>1304</v>
      </c>
      <c r="O68" t="s">
        <v>1878</v>
      </c>
      <c r="P68">
        <v>7976</v>
      </c>
      <c r="Q68">
        <v>7026</v>
      </c>
      <c r="R68" t="s">
        <v>3721</v>
      </c>
      <c r="S68" t="s">
        <v>3720</v>
      </c>
    </row>
    <row r="69" spans="1:19" x14ac:dyDescent="0.2">
      <c r="A69" t="s">
        <v>3719</v>
      </c>
      <c r="B69" t="s">
        <v>3718</v>
      </c>
      <c r="C69">
        <v>17</v>
      </c>
      <c r="D69" t="s">
        <v>111</v>
      </c>
      <c r="E69">
        <v>0</v>
      </c>
      <c r="F69" t="s">
        <v>3717</v>
      </c>
      <c r="G69" t="s">
        <v>109</v>
      </c>
      <c r="H69" t="s">
        <v>108</v>
      </c>
      <c r="M69">
        <v>1803</v>
      </c>
      <c r="P69">
        <v>21744</v>
      </c>
      <c r="Q69">
        <v>64506</v>
      </c>
      <c r="R69" t="s">
        <v>3716</v>
      </c>
      <c r="S69" t="s">
        <v>3715</v>
      </c>
    </row>
    <row r="70" spans="1:19" x14ac:dyDescent="0.2">
      <c r="A70" t="s">
        <v>3714</v>
      </c>
      <c r="B70" t="s">
        <v>3713</v>
      </c>
      <c r="C70">
        <v>11</v>
      </c>
      <c r="D70" t="s">
        <v>111</v>
      </c>
      <c r="E70">
        <v>0</v>
      </c>
      <c r="F70" t="s">
        <v>3712</v>
      </c>
      <c r="G70" t="s">
        <v>109</v>
      </c>
      <c r="H70" t="s">
        <v>108</v>
      </c>
      <c r="M70">
        <v>39883</v>
      </c>
      <c r="N70" t="s">
        <v>3684</v>
      </c>
      <c r="O70" t="s">
        <v>3696</v>
      </c>
      <c r="P70">
        <v>18856</v>
      </c>
      <c r="Q70">
        <v>90993</v>
      </c>
      <c r="R70" t="s">
        <v>3711</v>
      </c>
      <c r="S70" t="s">
        <v>3710</v>
      </c>
    </row>
    <row r="71" spans="1:19" x14ac:dyDescent="0.2">
      <c r="A71" t="s">
        <v>3709</v>
      </c>
      <c r="B71" t="s">
        <v>3708</v>
      </c>
      <c r="C71">
        <v>13</v>
      </c>
      <c r="D71" t="s">
        <v>111</v>
      </c>
      <c r="E71">
        <v>0</v>
      </c>
      <c r="F71" t="s">
        <v>3707</v>
      </c>
      <c r="G71" t="s">
        <v>109</v>
      </c>
      <c r="H71" t="s">
        <v>108</v>
      </c>
      <c r="M71">
        <v>1223</v>
      </c>
      <c r="N71" t="s">
        <v>3684</v>
      </c>
      <c r="O71" t="s">
        <v>3696</v>
      </c>
      <c r="P71">
        <v>23720</v>
      </c>
      <c r="Q71">
        <v>64764</v>
      </c>
      <c r="R71" t="s">
        <v>3706</v>
      </c>
      <c r="S71" t="s">
        <v>3705</v>
      </c>
    </row>
    <row r="72" spans="1:19" x14ac:dyDescent="0.2">
      <c r="A72" t="s">
        <v>3704</v>
      </c>
      <c r="B72" t="s">
        <v>3703</v>
      </c>
      <c r="C72">
        <v>11</v>
      </c>
      <c r="D72" t="s">
        <v>363</v>
      </c>
      <c r="E72">
        <v>0</v>
      </c>
      <c r="F72" t="s">
        <v>3702</v>
      </c>
      <c r="G72" t="s">
        <v>118</v>
      </c>
      <c r="H72" t="s">
        <v>117</v>
      </c>
      <c r="I72">
        <v>0.92678773760245303</v>
      </c>
      <c r="J72">
        <v>0.88827560980398601</v>
      </c>
      <c r="K72">
        <v>63</v>
      </c>
      <c r="L72">
        <v>8</v>
      </c>
      <c r="M72">
        <v>501</v>
      </c>
      <c r="N72" t="s">
        <v>3684</v>
      </c>
      <c r="O72" t="s">
        <v>3683</v>
      </c>
      <c r="P72">
        <v>2345</v>
      </c>
      <c r="Q72">
        <v>1385</v>
      </c>
      <c r="R72" t="s">
        <v>3701</v>
      </c>
      <c r="S72" t="s">
        <v>3700</v>
      </c>
    </row>
    <row r="73" spans="1:19" x14ac:dyDescent="0.2">
      <c r="A73" t="s">
        <v>3699</v>
      </c>
      <c r="B73" t="s">
        <v>3698</v>
      </c>
      <c r="C73">
        <v>13</v>
      </c>
      <c r="D73" t="s">
        <v>111</v>
      </c>
      <c r="E73">
        <v>0</v>
      </c>
      <c r="F73" t="s">
        <v>3697</v>
      </c>
      <c r="G73" t="s">
        <v>109</v>
      </c>
      <c r="H73" t="s">
        <v>108</v>
      </c>
      <c r="M73">
        <v>95</v>
      </c>
      <c r="N73" t="s">
        <v>3684</v>
      </c>
      <c r="O73" t="s">
        <v>3696</v>
      </c>
      <c r="P73">
        <v>2347</v>
      </c>
      <c r="Q73">
        <v>10488</v>
      </c>
      <c r="R73" t="s">
        <v>3695</v>
      </c>
      <c r="S73" t="s">
        <v>3694</v>
      </c>
    </row>
    <row r="74" spans="1:19" x14ac:dyDescent="0.2">
      <c r="A74" t="s">
        <v>3693</v>
      </c>
      <c r="B74" t="s">
        <v>3692</v>
      </c>
      <c r="C74">
        <v>11</v>
      </c>
      <c r="D74" t="s">
        <v>111</v>
      </c>
      <c r="E74">
        <v>0</v>
      </c>
      <c r="F74" t="s">
        <v>3691</v>
      </c>
      <c r="G74" t="s">
        <v>109</v>
      </c>
      <c r="H74" t="s">
        <v>108</v>
      </c>
      <c r="M74">
        <v>1784</v>
      </c>
      <c r="N74" t="s">
        <v>2082</v>
      </c>
      <c r="O74" t="s">
        <v>3690</v>
      </c>
      <c r="P74">
        <v>16844</v>
      </c>
      <c r="Q74">
        <v>9586</v>
      </c>
      <c r="R74" t="s">
        <v>3689</v>
      </c>
      <c r="S74" t="s">
        <v>3688</v>
      </c>
    </row>
    <row r="75" spans="1:19" x14ac:dyDescent="0.2">
      <c r="A75" t="s">
        <v>3687</v>
      </c>
      <c r="B75" t="s">
        <v>3686</v>
      </c>
      <c r="C75">
        <v>11</v>
      </c>
      <c r="D75" t="s">
        <v>120</v>
      </c>
      <c r="E75">
        <v>0</v>
      </c>
      <c r="F75" t="s">
        <v>3685</v>
      </c>
      <c r="G75" t="s">
        <v>229</v>
      </c>
      <c r="H75" t="s">
        <v>228</v>
      </c>
      <c r="M75">
        <v>30</v>
      </c>
      <c r="N75" t="s">
        <v>3684</v>
      </c>
      <c r="O75" t="s">
        <v>3683</v>
      </c>
      <c r="P75">
        <v>2352</v>
      </c>
      <c r="Q75">
        <v>1390</v>
      </c>
      <c r="R75" t="s">
        <v>3682</v>
      </c>
      <c r="S75" t="s">
        <v>3681</v>
      </c>
    </row>
    <row r="76" spans="1:19" x14ac:dyDescent="0.2">
      <c r="A76" t="s">
        <v>3680</v>
      </c>
      <c r="B76" t="s">
        <v>3679</v>
      </c>
      <c r="C76">
        <v>13</v>
      </c>
      <c r="D76" t="s">
        <v>388</v>
      </c>
      <c r="E76">
        <v>0</v>
      </c>
      <c r="F76" t="s">
        <v>3678</v>
      </c>
      <c r="G76" t="s">
        <v>118</v>
      </c>
      <c r="H76" t="s">
        <v>117</v>
      </c>
      <c r="J76">
        <v>0.93346949847897998</v>
      </c>
      <c r="L76">
        <v>8</v>
      </c>
      <c r="M76">
        <v>500</v>
      </c>
      <c r="N76" t="s">
        <v>671</v>
      </c>
      <c r="O76" t="s">
        <v>1787</v>
      </c>
      <c r="P76">
        <v>2383</v>
      </c>
      <c r="Q76">
        <v>1406</v>
      </c>
      <c r="R76" t="s">
        <v>3677</v>
      </c>
      <c r="S76" t="s">
        <v>3676</v>
      </c>
    </row>
    <row r="77" spans="1:19" x14ac:dyDescent="0.2">
      <c r="A77" t="s">
        <v>3675</v>
      </c>
      <c r="B77" t="s">
        <v>3674</v>
      </c>
      <c r="C77">
        <v>17</v>
      </c>
      <c r="D77" t="s">
        <v>363</v>
      </c>
      <c r="E77">
        <v>0</v>
      </c>
      <c r="F77" t="s">
        <v>3673</v>
      </c>
      <c r="G77" t="s">
        <v>118</v>
      </c>
      <c r="H77" t="s">
        <v>117</v>
      </c>
      <c r="I77">
        <v>0.97410013795504102</v>
      </c>
      <c r="J77">
        <v>0.99310185744860202</v>
      </c>
      <c r="K77">
        <v>25</v>
      </c>
      <c r="L77">
        <v>8</v>
      </c>
      <c r="M77">
        <v>450</v>
      </c>
      <c r="N77" t="s">
        <v>107</v>
      </c>
      <c r="O77" t="s">
        <v>3668</v>
      </c>
      <c r="P77">
        <v>16234</v>
      </c>
      <c r="Q77">
        <v>140690</v>
      </c>
      <c r="R77" t="s">
        <v>3672</v>
      </c>
      <c r="S77" t="s">
        <v>3671</v>
      </c>
    </row>
    <row r="78" spans="1:19" x14ac:dyDescent="0.2">
      <c r="A78" t="s">
        <v>3670</v>
      </c>
      <c r="B78" t="s">
        <v>24</v>
      </c>
      <c r="C78">
        <v>19</v>
      </c>
      <c r="D78" t="s">
        <v>363</v>
      </c>
      <c r="E78">
        <v>0</v>
      </c>
      <c r="F78" t="s">
        <v>3669</v>
      </c>
      <c r="G78" t="s">
        <v>118</v>
      </c>
      <c r="H78" t="s">
        <v>117</v>
      </c>
      <c r="I78">
        <v>0.99748841295853896</v>
      </c>
      <c r="J78">
        <v>0.99845941125181903</v>
      </c>
      <c r="K78">
        <v>502</v>
      </c>
      <c r="L78">
        <v>263</v>
      </c>
      <c r="M78">
        <v>500</v>
      </c>
      <c r="N78" t="s">
        <v>107</v>
      </c>
      <c r="O78" t="s">
        <v>3668</v>
      </c>
      <c r="P78">
        <v>13723</v>
      </c>
      <c r="Q78">
        <v>10664</v>
      </c>
      <c r="R78" t="s">
        <v>3667</v>
      </c>
      <c r="S78" t="s">
        <v>3666</v>
      </c>
    </row>
    <row r="79" spans="1:19" x14ac:dyDescent="0.2">
      <c r="A79" t="s">
        <v>3665</v>
      </c>
      <c r="B79" t="s">
        <v>3664</v>
      </c>
      <c r="C79">
        <v>14</v>
      </c>
      <c r="D79" t="s">
        <v>120</v>
      </c>
      <c r="E79">
        <v>0</v>
      </c>
      <c r="F79" t="s">
        <v>3663</v>
      </c>
      <c r="G79" t="s">
        <v>229</v>
      </c>
      <c r="H79" t="s">
        <v>228</v>
      </c>
      <c r="M79">
        <v>97</v>
      </c>
      <c r="N79" t="s">
        <v>1804</v>
      </c>
      <c r="O79" t="s">
        <v>3657</v>
      </c>
      <c r="P79">
        <v>2557</v>
      </c>
      <c r="Q79">
        <v>1523</v>
      </c>
      <c r="R79" t="s">
        <v>3662</v>
      </c>
      <c r="S79" t="s">
        <v>3661</v>
      </c>
    </row>
    <row r="80" spans="1:19" x14ac:dyDescent="0.2">
      <c r="A80" t="s">
        <v>3660</v>
      </c>
      <c r="B80" t="s">
        <v>3659</v>
      </c>
      <c r="C80">
        <v>11</v>
      </c>
      <c r="D80" t="s">
        <v>111</v>
      </c>
      <c r="E80">
        <v>0</v>
      </c>
      <c r="F80" t="s">
        <v>3658</v>
      </c>
      <c r="G80" t="s">
        <v>118</v>
      </c>
      <c r="H80" t="s">
        <v>117</v>
      </c>
      <c r="J80">
        <v>0.86732191943230397</v>
      </c>
      <c r="L80">
        <v>5</v>
      </c>
      <c r="M80">
        <v>496</v>
      </c>
      <c r="N80" t="s">
        <v>1804</v>
      </c>
      <c r="O80" t="s">
        <v>3657</v>
      </c>
      <c r="P80">
        <v>19347</v>
      </c>
      <c r="Q80">
        <v>23316</v>
      </c>
      <c r="R80" t="s">
        <v>3656</v>
      </c>
      <c r="S80" t="s">
        <v>3655</v>
      </c>
    </row>
    <row r="81" spans="1:19" x14ac:dyDescent="0.2">
      <c r="A81" t="s">
        <v>3654</v>
      </c>
      <c r="B81" t="s">
        <v>3653</v>
      </c>
      <c r="C81">
        <v>7</v>
      </c>
      <c r="D81" t="s">
        <v>111</v>
      </c>
      <c r="E81">
        <v>0</v>
      </c>
      <c r="F81" t="s">
        <v>3652</v>
      </c>
      <c r="G81" t="s">
        <v>229</v>
      </c>
      <c r="H81" t="s">
        <v>228</v>
      </c>
      <c r="M81">
        <v>63</v>
      </c>
      <c r="N81" t="s">
        <v>3651</v>
      </c>
      <c r="O81" t="s">
        <v>3650</v>
      </c>
      <c r="P81">
        <v>24343</v>
      </c>
      <c r="Q81">
        <v>30827</v>
      </c>
      <c r="R81" t="s">
        <v>3649</v>
      </c>
      <c r="S81" t="s">
        <v>3648</v>
      </c>
    </row>
    <row r="82" spans="1:19" x14ac:dyDescent="0.2">
      <c r="A82" t="s">
        <v>3647</v>
      </c>
      <c r="B82" t="s">
        <v>3646</v>
      </c>
      <c r="C82">
        <v>11</v>
      </c>
      <c r="D82" t="s">
        <v>388</v>
      </c>
      <c r="E82">
        <v>0</v>
      </c>
      <c r="F82" t="s">
        <v>3645</v>
      </c>
      <c r="G82" t="s">
        <v>229</v>
      </c>
      <c r="H82" t="s">
        <v>228</v>
      </c>
      <c r="M82">
        <v>26</v>
      </c>
      <c r="N82" t="s">
        <v>869</v>
      </c>
      <c r="O82" t="s">
        <v>868</v>
      </c>
      <c r="P82">
        <v>2697</v>
      </c>
      <c r="Q82">
        <v>1628</v>
      </c>
      <c r="R82" t="s">
        <v>3644</v>
      </c>
      <c r="S82" t="s">
        <v>3643</v>
      </c>
    </row>
    <row r="83" spans="1:19" x14ac:dyDescent="0.2">
      <c r="A83" t="s">
        <v>3642</v>
      </c>
      <c r="B83" t="s">
        <v>20</v>
      </c>
      <c r="C83">
        <v>10</v>
      </c>
      <c r="D83" t="s">
        <v>111</v>
      </c>
      <c r="E83">
        <v>0</v>
      </c>
      <c r="F83" t="s">
        <v>3641</v>
      </c>
      <c r="G83" t="s">
        <v>118</v>
      </c>
      <c r="H83" t="s">
        <v>117</v>
      </c>
      <c r="I83">
        <v>0.62766493991726602</v>
      </c>
      <c r="J83">
        <v>0.91021163790534998</v>
      </c>
      <c r="K83">
        <v>3</v>
      </c>
      <c r="L83">
        <v>6</v>
      </c>
      <c r="M83">
        <v>500</v>
      </c>
      <c r="N83" t="s">
        <v>869</v>
      </c>
      <c r="O83" t="s">
        <v>3640</v>
      </c>
      <c r="P83">
        <v>2726</v>
      </c>
      <c r="Q83">
        <v>1649</v>
      </c>
      <c r="R83" t="s">
        <v>3639</v>
      </c>
      <c r="S83" t="s">
        <v>3638</v>
      </c>
    </row>
    <row r="84" spans="1:19" x14ac:dyDescent="0.2">
      <c r="A84" t="s">
        <v>3637</v>
      </c>
      <c r="B84" t="s">
        <v>3636</v>
      </c>
      <c r="C84">
        <v>16</v>
      </c>
      <c r="D84" t="s">
        <v>111</v>
      </c>
      <c r="E84">
        <v>0</v>
      </c>
      <c r="F84" t="s">
        <v>3635</v>
      </c>
      <c r="G84" t="s">
        <v>109</v>
      </c>
      <c r="H84" t="s">
        <v>108</v>
      </c>
      <c r="M84">
        <v>16332</v>
      </c>
      <c r="N84" t="s">
        <v>691</v>
      </c>
      <c r="O84" t="s">
        <v>3609</v>
      </c>
      <c r="P84">
        <v>2914</v>
      </c>
      <c r="Q84">
        <v>1745</v>
      </c>
      <c r="R84" t="s">
        <v>3634</v>
      </c>
      <c r="S84" t="s">
        <v>3633</v>
      </c>
    </row>
    <row r="85" spans="1:19" x14ac:dyDescent="0.2">
      <c r="A85" t="s">
        <v>3632</v>
      </c>
      <c r="B85" t="s">
        <v>3631</v>
      </c>
      <c r="C85">
        <v>8</v>
      </c>
      <c r="D85" t="s">
        <v>111</v>
      </c>
      <c r="E85">
        <v>0</v>
      </c>
      <c r="F85" t="s">
        <v>3630</v>
      </c>
      <c r="G85" t="s">
        <v>229</v>
      </c>
      <c r="H85" t="s">
        <v>228</v>
      </c>
      <c r="M85">
        <v>6</v>
      </c>
      <c r="N85" t="s">
        <v>691</v>
      </c>
      <c r="O85" t="s">
        <v>3609</v>
      </c>
      <c r="P85">
        <v>2915</v>
      </c>
      <c r="Q85">
        <v>1746</v>
      </c>
      <c r="R85" t="s">
        <v>3629</v>
      </c>
      <c r="S85" t="s">
        <v>3628</v>
      </c>
    </row>
    <row r="86" spans="1:19" x14ac:dyDescent="0.2">
      <c r="A86" t="s">
        <v>3627</v>
      </c>
      <c r="B86" t="s">
        <v>3626</v>
      </c>
      <c r="C86">
        <v>10</v>
      </c>
      <c r="D86" t="s">
        <v>120</v>
      </c>
      <c r="E86">
        <v>0</v>
      </c>
      <c r="F86" t="s">
        <v>3625</v>
      </c>
      <c r="G86" t="s">
        <v>229</v>
      </c>
      <c r="H86" t="s">
        <v>228</v>
      </c>
      <c r="M86">
        <v>35</v>
      </c>
      <c r="N86" t="s">
        <v>691</v>
      </c>
      <c r="O86" t="s">
        <v>3609</v>
      </c>
      <c r="P86">
        <v>2916</v>
      </c>
      <c r="Q86">
        <v>1747</v>
      </c>
      <c r="R86" t="s">
        <v>3624</v>
      </c>
      <c r="S86" t="s">
        <v>3623</v>
      </c>
    </row>
    <row r="87" spans="1:19" x14ac:dyDescent="0.2">
      <c r="A87" t="s">
        <v>3622</v>
      </c>
      <c r="B87" t="s">
        <v>3621</v>
      </c>
      <c r="C87">
        <v>16</v>
      </c>
      <c r="D87" t="s">
        <v>111</v>
      </c>
      <c r="E87">
        <v>0</v>
      </c>
      <c r="F87" t="s">
        <v>3620</v>
      </c>
      <c r="G87" t="s">
        <v>109</v>
      </c>
      <c r="H87" t="s">
        <v>108</v>
      </c>
      <c r="M87">
        <v>2360</v>
      </c>
      <c r="N87" t="s">
        <v>691</v>
      </c>
      <c r="O87" t="s">
        <v>3609</v>
      </c>
      <c r="P87">
        <v>2917</v>
      </c>
      <c r="Q87">
        <v>1748</v>
      </c>
      <c r="R87" t="s">
        <v>3619</v>
      </c>
      <c r="S87" t="s">
        <v>3618</v>
      </c>
    </row>
    <row r="88" spans="1:19" x14ac:dyDescent="0.2">
      <c r="A88" t="s">
        <v>3617</v>
      </c>
      <c r="B88" t="s">
        <v>3616</v>
      </c>
      <c r="C88">
        <v>11</v>
      </c>
      <c r="D88" t="s">
        <v>111</v>
      </c>
      <c r="E88">
        <v>0</v>
      </c>
      <c r="F88" t="s">
        <v>3615</v>
      </c>
      <c r="G88" t="s">
        <v>118</v>
      </c>
      <c r="H88" t="s">
        <v>117</v>
      </c>
      <c r="J88">
        <v>0.90903768628599002</v>
      </c>
      <c r="L88">
        <v>2</v>
      </c>
      <c r="M88">
        <v>465</v>
      </c>
      <c r="N88" t="s">
        <v>691</v>
      </c>
      <c r="O88" t="s">
        <v>3609</v>
      </c>
      <c r="P88">
        <v>2918</v>
      </c>
      <c r="Q88">
        <v>1749</v>
      </c>
      <c r="R88" t="s">
        <v>3614</v>
      </c>
      <c r="S88" t="s">
        <v>3613</v>
      </c>
    </row>
    <row r="89" spans="1:19" x14ac:dyDescent="0.2">
      <c r="A89" t="s">
        <v>3612</v>
      </c>
      <c r="B89" t="s">
        <v>3611</v>
      </c>
      <c r="C89">
        <v>15</v>
      </c>
      <c r="D89" t="s">
        <v>111</v>
      </c>
      <c r="E89">
        <v>0</v>
      </c>
      <c r="F89" t="s">
        <v>3610</v>
      </c>
      <c r="G89" t="s">
        <v>109</v>
      </c>
      <c r="H89" t="s">
        <v>108</v>
      </c>
      <c r="M89">
        <v>1138</v>
      </c>
      <c r="N89" t="s">
        <v>691</v>
      </c>
      <c r="O89" t="s">
        <v>3609</v>
      </c>
      <c r="P89">
        <v>2919</v>
      </c>
      <c r="Q89">
        <v>1750</v>
      </c>
      <c r="R89" t="s">
        <v>3608</v>
      </c>
      <c r="S89" t="s">
        <v>3607</v>
      </c>
    </row>
    <row r="90" spans="1:19" x14ac:dyDescent="0.2">
      <c r="A90" t="s">
        <v>3606</v>
      </c>
      <c r="B90" t="s">
        <v>3605</v>
      </c>
      <c r="C90">
        <v>20</v>
      </c>
      <c r="D90" t="s">
        <v>111</v>
      </c>
      <c r="E90">
        <v>0</v>
      </c>
      <c r="F90" t="s">
        <v>3604</v>
      </c>
      <c r="G90" t="s">
        <v>109</v>
      </c>
      <c r="H90" t="s">
        <v>108</v>
      </c>
      <c r="M90">
        <v>29</v>
      </c>
      <c r="N90" t="s">
        <v>671</v>
      </c>
      <c r="O90" t="s">
        <v>3603</v>
      </c>
      <c r="P90">
        <v>19026</v>
      </c>
      <c r="Q90">
        <v>127343</v>
      </c>
      <c r="R90" t="s">
        <v>3602</v>
      </c>
      <c r="S90" t="s">
        <v>3601</v>
      </c>
    </row>
    <row r="91" spans="1:19" x14ac:dyDescent="0.2">
      <c r="A91" t="s">
        <v>3600</v>
      </c>
      <c r="B91" t="s">
        <v>3599</v>
      </c>
      <c r="C91">
        <v>17</v>
      </c>
      <c r="D91" t="s">
        <v>111</v>
      </c>
      <c r="E91">
        <v>0</v>
      </c>
      <c r="F91" t="s">
        <v>3598</v>
      </c>
      <c r="G91" t="s">
        <v>118</v>
      </c>
      <c r="H91" t="s">
        <v>117</v>
      </c>
      <c r="I91">
        <v>0.55196182818555695</v>
      </c>
      <c r="J91">
        <v>0.98657771729396804</v>
      </c>
      <c r="K91">
        <v>2</v>
      </c>
      <c r="L91">
        <v>4</v>
      </c>
      <c r="M91">
        <v>500</v>
      </c>
      <c r="N91" t="s">
        <v>3597</v>
      </c>
      <c r="O91" t="s">
        <v>3596</v>
      </c>
      <c r="P91">
        <v>2934</v>
      </c>
      <c r="Q91">
        <v>1761</v>
      </c>
      <c r="R91" t="s">
        <v>3595</v>
      </c>
      <c r="S91" t="s">
        <v>3594</v>
      </c>
    </row>
    <row r="92" spans="1:19" x14ac:dyDescent="0.2">
      <c r="A92" t="s">
        <v>3593</v>
      </c>
      <c r="B92" t="s">
        <v>3592</v>
      </c>
      <c r="C92">
        <v>11</v>
      </c>
      <c r="D92" t="s">
        <v>111</v>
      </c>
      <c r="E92">
        <v>0</v>
      </c>
      <c r="F92" t="s">
        <v>3591</v>
      </c>
      <c r="G92" t="s">
        <v>109</v>
      </c>
      <c r="H92" t="s">
        <v>108</v>
      </c>
      <c r="M92">
        <v>46619</v>
      </c>
      <c r="N92" t="s">
        <v>671</v>
      </c>
      <c r="O92" t="s">
        <v>3590</v>
      </c>
      <c r="P92">
        <v>32166</v>
      </c>
      <c r="Q92">
        <v>503834</v>
      </c>
      <c r="R92" t="s">
        <v>3589</v>
      </c>
      <c r="S92" t="s">
        <v>3588</v>
      </c>
    </row>
    <row r="93" spans="1:19" x14ac:dyDescent="0.2">
      <c r="A93" t="s">
        <v>3587</v>
      </c>
      <c r="B93" t="s">
        <v>3586</v>
      </c>
      <c r="C93">
        <v>11</v>
      </c>
      <c r="D93" t="s">
        <v>111</v>
      </c>
      <c r="E93">
        <v>0</v>
      </c>
      <c r="F93" t="s">
        <v>730</v>
      </c>
      <c r="G93" t="s">
        <v>109</v>
      </c>
      <c r="H93" t="s">
        <v>108</v>
      </c>
      <c r="M93">
        <v>10544</v>
      </c>
      <c r="N93" t="s">
        <v>671</v>
      </c>
      <c r="O93" t="s">
        <v>3585</v>
      </c>
      <c r="P93">
        <v>21536</v>
      </c>
      <c r="Q93">
        <v>644168</v>
      </c>
      <c r="R93" t="s">
        <v>3584</v>
      </c>
      <c r="S93" t="s">
        <v>3583</v>
      </c>
    </row>
    <row r="94" spans="1:19" x14ac:dyDescent="0.2">
      <c r="A94" t="s">
        <v>3582</v>
      </c>
      <c r="B94" t="s">
        <v>3581</v>
      </c>
      <c r="C94">
        <v>11</v>
      </c>
      <c r="D94" t="s">
        <v>363</v>
      </c>
      <c r="E94">
        <v>0</v>
      </c>
      <c r="F94" t="s">
        <v>3580</v>
      </c>
      <c r="G94" t="s">
        <v>118</v>
      </c>
      <c r="H94" t="s">
        <v>117</v>
      </c>
      <c r="I94">
        <v>0.99581922519258403</v>
      </c>
      <c r="K94">
        <v>5</v>
      </c>
      <c r="M94">
        <v>500</v>
      </c>
      <c r="N94" t="s">
        <v>671</v>
      </c>
      <c r="O94" t="s">
        <v>3574</v>
      </c>
      <c r="P94">
        <v>50800</v>
      </c>
      <c r="Q94">
        <v>100288687</v>
      </c>
      <c r="R94" t="s">
        <v>3579</v>
      </c>
      <c r="S94" t="s">
        <v>3578</v>
      </c>
    </row>
    <row r="95" spans="1:19" x14ac:dyDescent="0.2">
      <c r="A95" t="s">
        <v>3577</v>
      </c>
      <c r="B95" t="s">
        <v>3576</v>
      </c>
      <c r="C95">
        <v>11</v>
      </c>
      <c r="D95" t="s">
        <v>111</v>
      </c>
      <c r="E95">
        <v>0</v>
      </c>
      <c r="F95" t="s">
        <v>3575</v>
      </c>
      <c r="G95" t="s">
        <v>109</v>
      </c>
      <c r="H95" t="s">
        <v>108</v>
      </c>
      <c r="M95">
        <v>2685</v>
      </c>
      <c r="N95" t="s">
        <v>671</v>
      </c>
      <c r="O95" t="s">
        <v>3574</v>
      </c>
      <c r="P95">
        <v>32179</v>
      </c>
      <c r="Q95">
        <v>503835</v>
      </c>
      <c r="R95" t="s">
        <v>3573</v>
      </c>
      <c r="S95" t="s">
        <v>3572</v>
      </c>
    </row>
    <row r="96" spans="1:19" x14ac:dyDescent="0.2">
      <c r="A96" t="s">
        <v>3571</v>
      </c>
      <c r="B96" t="s">
        <v>3570</v>
      </c>
      <c r="C96">
        <v>14</v>
      </c>
      <c r="D96" t="s">
        <v>363</v>
      </c>
      <c r="E96">
        <v>0</v>
      </c>
      <c r="F96" t="s">
        <v>3569</v>
      </c>
      <c r="G96" t="s">
        <v>118</v>
      </c>
      <c r="H96" t="s">
        <v>117</v>
      </c>
      <c r="I96">
        <v>0.91894406955013797</v>
      </c>
      <c r="J96">
        <v>0.95795094270084002</v>
      </c>
      <c r="K96">
        <v>80</v>
      </c>
      <c r="L96">
        <v>21</v>
      </c>
      <c r="M96">
        <v>500</v>
      </c>
      <c r="N96" t="s">
        <v>826</v>
      </c>
      <c r="O96" t="s">
        <v>3532</v>
      </c>
      <c r="P96">
        <v>3113</v>
      </c>
      <c r="Q96">
        <v>1869</v>
      </c>
      <c r="R96" t="s">
        <v>3568</v>
      </c>
      <c r="S96" t="s">
        <v>3567</v>
      </c>
    </row>
    <row r="97" spans="1:19" x14ac:dyDescent="0.2">
      <c r="A97" t="s">
        <v>3566</v>
      </c>
      <c r="B97" t="s">
        <v>3565</v>
      </c>
      <c r="C97">
        <v>10</v>
      </c>
      <c r="D97" t="s">
        <v>388</v>
      </c>
      <c r="E97">
        <v>0</v>
      </c>
      <c r="F97" t="s">
        <v>3564</v>
      </c>
      <c r="G97" t="s">
        <v>229</v>
      </c>
      <c r="H97" t="s">
        <v>228</v>
      </c>
      <c r="M97">
        <v>8</v>
      </c>
      <c r="N97" t="s">
        <v>826</v>
      </c>
      <c r="O97" t="s">
        <v>3532</v>
      </c>
      <c r="P97">
        <v>3114</v>
      </c>
      <c r="Q97">
        <v>1870</v>
      </c>
      <c r="R97" t="s">
        <v>3563</v>
      </c>
      <c r="S97" t="s">
        <v>3562</v>
      </c>
    </row>
    <row r="98" spans="1:19" x14ac:dyDescent="0.2">
      <c r="A98" t="s">
        <v>3561</v>
      </c>
      <c r="B98" t="s">
        <v>16</v>
      </c>
      <c r="C98">
        <v>11</v>
      </c>
      <c r="D98" t="s">
        <v>363</v>
      </c>
      <c r="E98">
        <v>0</v>
      </c>
      <c r="F98" t="s">
        <v>3560</v>
      </c>
      <c r="G98" t="s">
        <v>118</v>
      </c>
      <c r="H98" t="s">
        <v>117</v>
      </c>
      <c r="I98">
        <v>0.88761542653258796</v>
      </c>
      <c r="J98">
        <v>0.91631005173637003</v>
      </c>
      <c r="K98">
        <v>3</v>
      </c>
      <c r="L98">
        <v>22</v>
      </c>
      <c r="M98">
        <v>500</v>
      </c>
      <c r="N98" t="s">
        <v>826</v>
      </c>
      <c r="O98" t="s">
        <v>3532</v>
      </c>
      <c r="P98">
        <v>3115</v>
      </c>
      <c r="Q98">
        <v>1871</v>
      </c>
      <c r="R98" t="s">
        <v>3559</v>
      </c>
      <c r="S98" t="s">
        <v>3558</v>
      </c>
    </row>
    <row r="99" spans="1:19" x14ac:dyDescent="0.2">
      <c r="A99" t="s">
        <v>3557</v>
      </c>
      <c r="B99" t="s">
        <v>3554</v>
      </c>
      <c r="C99">
        <v>13</v>
      </c>
      <c r="D99" t="s">
        <v>363</v>
      </c>
      <c r="E99">
        <v>0</v>
      </c>
      <c r="F99" t="s">
        <v>3556</v>
      </c>
      <c r="G99" t="s">
        <v>118</v>
      </c>
      <c r="H99" t="s">
        <v>117</v>
      </c>
      <c r="I99">
        <v>0.955843789893288</v>
      </c>
      <c r="J99">
        <v>0.97749165570265095</v>
      </c>
      <c r="K99">
        <v>15</v>
      </c>
      <c r="L99">
        <v>37</v>
      </c>
      <c r="M99">
        <v>500</v>
      </c>
      <c r="N99" t="s">
        <v>826</v>
      </c>
      <c r="O99" t="s">
        <v>3532</v>
      </c>
      <c r="P99">
        <v>3118</v>
      </c>
      <c r="Q99">
        <v>1874</v>
      </c>
      <c r="R99" t="s">
        <v>3552</v>
      </c>
      <c r="S99" t="s">
        <v>3551</v>
      </c>
    </row>
    <row r="100" spans="1:19" x14ac:dyDescent="0.2">
      <c r="A100" t="s">
        <v>3555</v>
      </c>
      <c r="B100" t="s">
        <v>3554</v>
      </c>
      <c r="C100">
        <v>14</v>
      </c>
      <c r="D100" t="s">
        <v>363</v>
      </c>
      <c r="E100">
        <v>1</v>
      </c>
      <c r="F100" t="s">
        <v>3553</v>
      </c>
      <c r="G100" t="s">
        <v>118</v>
      </c>
      <c r="H100" t="s">
        <v>117</v>
      </c>
      <c r="I100">
        <v>0.92394673958126505</v>
      </c>
      <c r="J100">
        <v>0.96952916125816202</v>
      </c>
      <c r="K100">
        <v>15</v>
      </c>
      <c r="L100">
        <v>37</v>
      </c>
      <c r="M100">
        <v>500</v>
      </c>
      <c r="N100" t="s">
        <v>826</v>
      </c>
      <c r="O100" t="s">
        <v>3532</v>
      </c>
      <c r="P100">
        <v>3118</v>
      </c>
      <c r="Q100">
        <v>1874</v>
      </c>
      <c r="R100" t="s">
        <v>3552</v>
      </c>
      <c r="S100" t="s">
        <v>3551</v>
      </c>
    </row>
    <row r="101" spans="1:19" x14ac:dyDescent="0.2">
      <c r="A101" t="s">
        <v>3550</v>
      </c>
      <c r="B101" t="s">
        <v>3549</v>
      </c>
      <c r="C101">
        <v>10</v>
      </c>
      <c r="D101" t="s">
        <v>388</v>
      </c>
      <c r="E101">
        <v>0</v>
      </c>
      <c r="F101" t="s">
        <v>3548</v>
      </c>
      <c r="G101" t="s">
        <v>229</v>
      </c>
      <c r="H101" t="s">
        <v>228</v>
      </c>
      <c r="M101">
        <v>12</v>
      </c>
      <c r="N101" t="s">
        <v>826</v>
      </c>
      <c r="O101" t="s">
        <v>3532</v>
      </c>
      <c r="P101">
        <v>3119</v>
      </c>
      <c r="Q101">
        <v>1875</v>
      </c>
      <c r="R101" t="s">
        <v>3547</v>
      </c>
      <c r="S101" t="s">
        <v>3546</v>
      </c>
    </row>
    <row r="102" spans="1:19" x14ac:dyDescent="0.2">
      <c r="A102" t="s">
        <v>3545</v>
      </c>
      <c r="B102" t="s">
        <v>3544</v>
      </c>
      <c r="C102">
        <v>13</v>
      </c>
      <c r="D102" t="s">
        <v>363</v>
      </c>
      <c r="E102">
        <v>0</v>
      </c>
      <c r="F102" t="s">
        <v>3543</v>
      </c>
      <c r="G102" t="s">
        <v>118</v>
      </c>
      <c r="H102" t="s">
        <v>117</v>
      </c>
      <c r="I102">
        <v>0.90150188069136705</v>
      </c>
      <c r="K102">
        <v>17</v>
      </c>
      <c r="M102">
        <v>500</v>
      </c>
      <c r="N102" t="s">
        <v>826</v>
      </c>
      <c r="O102" t="s">
        <v>3532</v>
      </c>
      <c r="P102">
        <v>3120</v>
      </c>
      <c r="Q102">
        <v>1876</v>
      </c>
      <c r="R102" t="s">
        <v>3542</v>
      </c>
      <c r="S102" t="s">
        <v>3541</v>
      </c>
    </row>
    <row r="103" spans="1:19" x14ac:dyDescent="0.2">
      <c r="A103" t="s">
        <v>3540</v>
      </c>
      <c r="B103" t="s">
        <v>3539</v>
      </c>
      <c r="C103">
        <v>13</v>
      </c>
      <c r="D103" t="s">
        <v>388</v>
      </c>
      <c r="E103">
        <v>0</v>
      </c>
      <c r="F103" t="s">
        <v>3538</v>
      </c>
      <c r="G103" t="s">
        <v>118</v>
      </c>
      <c r="H103" t="s">
        <v>117</v>
      </c>
      <c r="I103">
        <v>0.84585606382831802</v>
      </c>
      <c r="K103">
        <v>16</v>
      </c>
      <c r="M103">
        <v>500</v>
      </c>
      <c r="N103" t="s">
        <v>826</v>
      </c>
      <c r="O103" t="s">
        <v>3532</v>
      </c>
      <c r="P103">
        <v>23820</v>
      </c>
      <c r="Q103">
        <v>144455</v>
      </c>
      <c r="R103" t="s">
        <v>3537</v>
      </c>
      <c r="S103" t="s">
        <v>3536</v>
      </c>
    </row>
    <row r="104" spans="1:19" x14ac:dyDescent="0.2">
      <c r="A104" t="s">
        <v>3535</v>
      </c>
      <c r="B104" t="s">
        <v>3534</v>
      </c>
      <c r="C104">
        <v>12</v>
      </c>
      <c r="D104" t="s">
        <v>111</v>
      </c>
      <c r="E104">
        <v>0</v>
      </c>
      <c r="F104" t="s">
        <v>3533</v>
      </c>
      <c r="G104" t="s">
        <v>109</v>
      </c>
      <c r="H104" t="s">
        <v>108</v>
      </c>
      <c r="M104">
        <v>28</v>
      </c>
      <c r="N104" t="s">
        <v>826</v>
      </c>
      <c r="O104" t="s">
        <v>3532</v>
      </c>
      <c r="P104">
        <v>24727</v>
      </c>
      <c r="Q104">
        <v>79733</v>
      </c>
      <c r="R104" t="s">
        <v>3531</v>
      </c>
      <c r="S104" t="s">
        <v>3530</v>
      </c>
    </row>
    <row r="105" spans="1:19" x14ac:dyDescent="0.2">
      <c r="A105" t="s">
        <v>3529</v>
      </c>
      <c r="B105" t="s">
        <v>23</v>
      </c>
      <c r="C105">
        <v>9</v>
      </c>
      <c r="D105" t="s">
        <v>111</v>
      </c>
      <c r="E105">
        <v>0</v>
      </c>
      <c r="F105" t="s">
        <v>3528</v>
      </c>
      <c r="G105" t="s">
        <v>229</v>
      </c>
      <c r="H105" t="s">
        <v>228</v>
      </c>
      <c r="M105">
        <v>9</v>
      </c>
      <c r="N105" t="s">
        <v>137</v>
      </c>
      <c r="O105" t="s">
        <v>136</v>
      </c>
      <c r="P105">
        <v>3121</v>
      </c>
      <c r="Q105">
        <v>1877</v>
      </c>
      <c r="R105" t="s">
        <v>3527</v>
      </c>
      <c r="S105" t="s">
        <v>3526</v>
      </c>
    </row>
    <row r="106" spans="1:19" x14ac:dyDescent="0.2">
      <c r="A106" t="s">
        <v>3525</v>
      </c>
      <c r="B106" t="s">
        <v>3524</v>
      </c>
      <c r="C106">
        <v>17</v>
      </c>
      <c r="D106" t="s">
        <v>363</v>
      </c>
      <c r="E106">
        <v>0</v>
      </c>
      <c r="F106" t="s">
        <v>3523</v>
      </c>
      <c r="G106" t="s">
        <v>118</v>
      </c>
      <c r="H106" t="s">
        <v>117</v>
      </c>
      <c r="I106">
        <v>0.98881540666603696</v>
      </c>
      <c r="J106">
        <v>0.98118186549626696</v>
      </c>
      <c r="K106">
        <v>36</v>
      </c>
      <c r="L106">
        <v>12</v>
      </c>
      <c r="M106">
        <v>500</v>
      </c>
      <c r="N106" t="s">
        <v>1101</v>
      </c>
      <c r="O106" t="s">
        <v>3505</v>
      </c>
      <c r="P106">
        <v>3238</v>
      </c>
      <c r="Q106">
        <v>1958</v>
      </c>
      <c r="R106" t="s">
        <v>3522</v>
      </c>
      <c r="S106" t="s">
        <v>3521</v>
      </c>
    </row>
    <row r="107" spans="1:19" x14ac:dyDescent="0.2">
      <c r="A107" t="s">
        <v>3520</v>
      </c>
      <c r="B107" t="s">
        <v>3517</v>
      </c>
      <c r="C107">
        <v>18</v>
      </c>
      <c r="D107" t="s">
        <v>363</v>
      </c>
      <c r="E107">
        <v>0</v>
      </c>
      <c r="F107" t="s">
        <v>3519</v>
      </c>
      <c r="G107" t="s">
        <v>118</v>
      </c>
      <c r="H107" t="s">
        <v>117</v>
      </c>
      <c r="I107">
        <v>0.98742987801404503</v>
      </c>
      <c r="J107">
        <v>0.962855883412153</v>
      </c>
      <c r="K107">
        <v>4</v>
      </c>
      <c r="L107">
        <v>25</v>
      </c>
      <c r="M107">
        <v>507</v>
      </c>
      <c r="N107" t="s">
        <v>1101</v>
      </c>
      <c r="O107" t="s">
        <v>3505</v>
      </c>
      <c r="P107">
        <v>3239</v>
      </c>
      <c r="Q107">
        <v>1959</v>
      </c>
      <c r="R107" t="s">
        <v>3515</v>
      </c>
      <c r="S107" t="s">
        <v>3514</v>
      </c>
    </row>
    <row r="108" spans="1:19" x14ac:dyDescent="0.2">
      <c r="A108" t="s">
        <v>3518</v>
      </c>
      <c r="B108" t="s">
        <v>3517</v>
      </c>
      <c r="C108">
        <v>16</v>
      </c>
      <c r="D108" t="s">
        <v>363</v>
      </c>
      <c r="E108">
        <v>1</v>
      </c>
      <c r="F108" t="s">
        <v>3516</v>
      </c>
      <c r="G108" t="s">
        <v>118</v>
      </c>
      <c r="H108" t="s">
        <v>117</v>
      </c>
      <c r="I108">
        <v>0.98774155299298305</v>
      </c>
      <c r="J108">
        <v>0.98025478169583002</v>
      </c>
      <c r="K108">
        <v>4</v>
      </c>
      <c r="L108">
        <v>25</v>
      </c>
      <c r="M108">
        <v>505</v>
      </c>
      <c r="N108" t="s">
        <v>1101</v>
      </c>
      <c r="O108" t="s">
        <v>3505</v>
      </c>
      <c r="P108">
        <v>3239</v>
      </c>
      <c r="Q108">
        <v>1959</v>
      </c>
      <c r="R108" t="s">
        <v>3515</v>
      </c>
      <c r="S108" t="s">
        <v>3514</v>
      </c>
    </row>
    <row r="109" spans="1:19" x14ac:dyDescent="0.2">
      <c r="A109" t="s">
        <v>3513</v>
      </c>
      <c r="B109" t="s">
        <v>3512</v>
      </c>
      <c r="C109">
        <v>11</v>
      </c>
      <c r="D109" t="s">
        <v>111</v>
      </c>
      <c r="E109">
        <v>0</v>
      </c>
      <c r="F109" t="s">
        <v>3511</v>
      </c>
      <c r="G109" t="s">
        <v>229</v>
      </c>
      <c r="H109" t="s">
        <v>228</v>
      </c>
      <c r="M109">
        <v>8</v>
      </c>
      <c r="N109" t="s">
        <v>1101</v>
      </c>
      <c r="O109" t="s">
        <v>3505</v>
      </c>
      <c r="P109">
        <v>3240</v>
      </c>
      <c r="Q109">
        <v>1960</v>
      </c>
      <c r="R109" t="s">
        <v>3510</v>
      </c>
      <c r="S109" t="s">
        <v>3509</v>
      </c>
    </row>
    <row r="110" spans="1:19" x14ac:dyDescent="0.2">
      <c r="A110" t="s">
        <v>3508</v>
      </c>
      <c r="B110" t="s">
        <v>3507</v>
      </c>
      <c r="C110">
        <v>11</v>
      </c>
      <c r="D110" t="s">
        <v>111</v>
      </c>
      <c r="E110">
        <v>0</v>
      </c>
      <c r="F110" t="s">
        <v>3506</v>
      </c>
      <c r="G110" t="s">
        <v>229</v>
      </c>
      <c r="H110" t="s">
        <v>228</v>
      </c>
      <c r="M110">
        <v>6</v>
      </c>
      <c r="N110" t="s">
        <v>1101</v>
      </c>
      <c r="O110" t="s">
        <v>3505</v>
      </c>
      <c r="P110">
        <v>3241</v>
      </c>
      <c r="Q110">
        <v>1961</v>
      </c>
      <c r="R110" t="s">
        <v>3504</v>
      </c>
      <c r="S110" t="s">
        <v>3503</v>
      </c>
    </row>
    <row r="111" spans="1:19" x14ac:dyDescent="0.2">
      <c r="A111" t="s">
        <v>3502</v>
      </c>
      <c r="B111" t="s">
        <v>3501</v>
      </c>
      <c r="C111">
        <v>15</v>
      </c>
      <c r="D111" t="s">
        <v>388</v>
      </c>
      <c r="E111">
        <v>0</v>
      </c>
      <c r="F111" t="s">
        <v>3500</v>
      </c>
      <c r="G111" t="s">
        <v>118</v>
      </c>
      <c r="H111" t="s">
        <v>117</v>
      </c>
      <c r="I111">
        <v>0.96623257050131905</v>
      </c>
      <c r="J111">
        <v>0.65387072825899395</v>
      </c>
      <c r="K111">
        <v>5</v>
      </c>
      <c r="L111">
        <v>3</v>
      </c>
      <c r="M111">
        <v>500</v>
      </c>
      <c r="N111" t="s">
        <v>1078</v>
      </c>
      <c r="O111" t="s">
        <v>3478</v>
      </c>
      <c r="P111">
        <v>3246</v>
      </c>
      <c r="Q111">
        <v>26298</v>
      </c>
      <c r="R111" t="s">
        <v>3499</v>
      </c>
      <c r="S111" t="s">
        <v>3498</v>
      </c>
    </row>
    <row r="112" spans="1:19" x14ac:dyDescent="0.2">
      <c r="A112" t="s">
        <v>3497</v>
      </c>
      <c r="B112" t="s">
        <v>3496</v>
      </c>
      <c r="C112">
        <v>14</v>
      </c>
      <c r="D112" t="s">
        <v>363</v>
      </c>
      <c r="E112">
        <v>0</v>
      </c>
      <c r="F112" t="s">
        <v>3495</v>
      </c>
      <c r="G112" t="s">
        <v>118</v>
      </c>
      <c r="H112" t="s">
        <v>117</v>
      </c>
      <c r="I112">
        <v>0.99154653912813195</v>
      </c>
      <c r="J112">
        <v>0.97523042680987404</v>
      </c>
      <c r="K112">
        <v>43</v>
      </c>
      <c r="L112">
        <v>5</v>
      </c>
      <c r="M112">
        <v>500</v>
      </c>
      <c r="N112" t="s">
        <v>1078</v>
      </c>
      <c r="O112" t="s">
        <v>3489</v>
      </c>
      <c r="P112">
        <v>3316</v>
      </c>
      <c r="Q112">
        <v>1997</v>
      </c>
      <c r="R112" t="s">
        <v>3494</v>
      </c>
      <c r="S112" t="s">
        <v>3493</v>
      </c>
    </row>
    <row r="113" spans="1:19" x14ac:dyDescent="0.2">
      <c r="A113" t="s">
        <v>3492</v>
      </c>
      <c r="B113" t="s">
        <v>3491</v>
      </c>
      <c r="C113">
        <v>13</v>
      </c>
      <c r="D113" t="s">
        <v>120</v>
      </c>
      <c r="E113">
        <v>0</v>
      </c>
      <c r="F113" t="s">
        <v>3490</v>
      </c>
      <c r="G113" t="s">
        <v>118</v>
      </c>
      <c r="H113" t="s">
        <v>117</v>
      </c>
      <c r="I113">
        <v>0.89333422118454597</v>
      </c>
      <c r="K113">
        <v>2</v>
      </c>
      <c r="M113">
        <v>500</v>
      </c>
      <c r="N113" t="s">
        <v>1078</v>
      </c>
      <c r="O113" t="s">
        <v>3489</v>
      </c>
      <c r="P113">
        <v>3317</v>
      </c>
      <c r="Q113">
        <v>1998</v>
      </c>
      <c r="R113" t="s">
        <v>3488</v>
      </c>
      <c r="S113" t="s">
        <v>3487</v>
      </c>
    </row>
    <row r="114" spans="1:19" x14ac:dyDescent="0.2">
      <c r="A114" t="s">
        <v>3486</v>
      </c>
      <c r="B114" t="s">
        <v>3485</v>
      </c>
      <c r="C114">
        <v>14</v>
      </c>
      <c r="D114" t="s">
        <v>363</v>
      </c>
      <c r="E114">
        <v>0</v>
      </c>
      <c r="F114" t="s">
        <v>3484</v>
      </c>
      <c r="G114" t="s">
        <v>118</v>
      </c>
      <c r="H114" t="s">
        <v>117</v>
      </c>
      <c r="I114">
        <v>0.97943060474626997</v>
      </c>
      <c r="K114">
        <v>11</v>
      </c>
      <c r="M114">
        <v>500</v>
      </c>
      <c r="N114" t="s">
        <v>1078</v>
      </c>
      <c r="O114" t="s">
        <v>3478</v>
      </c>
      <c r="P114">
        <v>3318</v>
      </c>
      <c r="Q114">
        <v>1999</v>
      </c>
      <c r="R114" t="s">
        <v>3483</v>
      </c>
      <c r="S114" t="s">
        <v>3482</v>
      </c>
    </row>
    <row r="115" spans="1:19" x14ac:dyDescent="0.2">
      <c r="A115" t="s">
        <v>3481</v>
      </c>
      <c r="B115" t="s">
        <v>3480</v>
      </c>
      <c r="C115">
        <v>15</v>
      </c>
      <c r="D115" t="s">
        <v>363</v>
      </c>
      <c r="E115">
        <v>0</v>
      </c>
      <c r="F115" t="s">
        <v>3479</v>
      </c>
      <c r="G115" t="s">
        <v>118</v>
      </c>
      <c r="H115" t="s">
        <v>117</v>
      </c>
      <c r="I115">
        <v>0.98531388146514398</v>
      </c>
      <c r="J115">
        <v>0.93029487034689395</v>
      </c>
      <c r="K115">
        <v>3</v>
      </c>
      <c r="L115">
        <v>12</v>
      </c>
      <c r="M115">
        <v>500</v>
      </c>
      <c r="N115" t="s">
        <v>1078</v>
      </c>
      <c r="O115" t="s">
        <v>3478</v>
      </c>
      <c r="P115">
        <v>3320</v>
      </c>
      <c r="Q115">
        <v>2001</v>
      </c>
      <c r="R115" t="s">
        <v>3477</v>
      </c>
      <c r="S115" t="s">
        <v>3476</v>
      </c>
    </row>
    <row r="116" spans="1:19" x14ac:dyDescent="0.2">
      <c r="A116" t="s">
        <v>3475</v>
      </c>
      <c r="B116" t="s">
        <v>3474</v>
      </c>
      <c r="C116">
        <v>11</v>
      </c>
      <c r="D116" t="s">
        <v>388</v>
      </c>
      <c r="E116">
        <v>0</v>
      </c>
      <c r="F116" t="s">
        <v>3473</v>
      </c>
      <c r="G116" t="s">
        <v>118</v>
      </c>
      <c r="H116" t="s">
        <v>117</v>
      </c>
      <c r="I116">
        <v>0.979805022727671</v>
      </c>
      <c r="J116">
        <v>0.682676887760157</v>
      </c>
      <c r="K116">
        <v>4</v>
      </c>
      <c r="L116">
        <v>7</v>
      </c>
      <c r="M116">
        <v>500</v>
      </c>
      <c r="N116" t="s">
        <v>1078</v>
      </c>
      <c r="O116" t="s">
        <v>3366</v>
      </c>
      <c r="P116">
        <v>3321</v>
      </c>
      <c r="Q116">
        <v>2002</v>
      </c>
      <c r="R116" t="s">
        <v>3472</v>
      </c>
      <c r="S116" t="s">
        <v>3471</v>
      </c>
    </row>
    <row r="117" spans="1:19" x14ac:dyDescent="0.2">
      <c r="A117" t="s">
        <v>3470</v>
      </c>
      <c r="B117" t="s">
        <v>3469</v>
      </c>
      <c r="C117">
        <v>12</v>
      </c>
      <c r="D117" t="s">
        <v>111</v>
      </c>
      <c r="E117">
        <v>0</v>
      </c>
      <c r="F117" t="s">
        <v>3468</v>
      </c>
      <c r="G117" t="s">
        <v>229</v>
      </c>
      <c r="H117" t="s">
        <v>228</v>
      </c>
      <c r="M117">
        <v>7</v>
      </c>
      <c r="N117" t="s">
        <v>1078</v>
      </c>
      <c r="O117" t="s">
        <v>3366</v>
      </c>
      <c r="P117">
        <v>3325</v>
      </c>
      <c r="Q117">
        <v>2004</v>
      </c>
      <c r="R117" t="s">
        <v>3467</v>
      </c>
      <c r="S117" t="s">
        <v>3466</v>
      </c>
    </row>
    <row r="118" spans="1:19" x14ac:dyDescent="0.2">
      <c r="A118" t="s">
        <v>3465</v>
      </c>
      <c r="B118" t="s">
        <v>3464</v>
      </c>
      <c r="C118">
        <v>12</v>
      </c>
      <c r="D118" t="s">
        <v>363</v>
      </c>
      <c r="E118">
        <v>0</v>
      </c>
      <c r="F118" t="s">
        <v>3463</v>
      </c>
      <c r="G118" t="s">
        <v>118</v>
      </c>
      <c r="H118" t="s">
        <v>117</v>
      </c>
      <c r="I118">
        <v>0.96613429481301105</v>
      </c>
      <c r="J118">
        <v>0.63759355423497399</v>
      </c>
      <c r="K118">
        <v>13</v>
      </c>
      <c r="L118">
        <v>4</v>
      </c>
      <c r="M118">
        <v>500</v>
      </c>
      <c r="N118" t="s">
        <v>1078</v>
      </c>
      <c r="O118" t="s">
        <v>3366</v>
      </c>
      <c r="P118">
        <v>3326</v>
      </c>
      <c r="Q118">
        <v>2005</v>
      </c>
      <c r="R118" t="s">
        <v>3462</v>
      </c>
      <c r="S118" t="s">
        <v>3461</v>
      </c>
    </row>
    <row r="119" spans="1:19" x14ac:dyDescent="0.2">
      <c r="A119" t="s">
        <v>3460</v>
      </c>
      <c r="B119" t="s">
        <v>3459</v>
      </c>
      <c r="C119">
        <v>12</v>
      </c>
      <c r="D119" t="s">
        <v>111</v>
      </c>
      <c r="E119">
        <v>0</v>
      </c>
      <c r="F119" t="s">
        <v>3458</v>
      </c>
      <c r="G119" t="s">
        <v>109</v>
      </c>
      <c r="H119" t="s">
        <v>108</v>
      </c>
      <c r="M119">
        <v>31003</v>
      </c>
      <c r="N119" t="s">
        <v>691</v>
      </c>
      <c r="O119" t="s">
        <v>3452</v>
      </c>
      <c r="P119">
        <v>3340</v>
      </c>
      <c r="Q119">
        <v>2016</v>
      </c>
      <c r="R119" t="s">
        <v>3457</v>
      </c>
      <c r="S119" t="s">
        <v>3456</v>
      </c>
    </row>
    <row r="120" spans="1:19" x14ac:dyDescent="0.2">
      <c r="A120" t="s">
        <v>3455</v>
      </c>
      <c r="B120" t="s">
        <v>3454</v>
      </c>
      <c r="C120">
        <v>12</v>
      </c>
      <c r="D120" t="s">
        <v>111</v>
      </c>
      <c r="E120">
        <v>0</v>
      </c>
      <c r="F120" t="s">
        <v>3453</v>
      </c>
      <c r="G120" t="s">
        <v>109</v>
      </c>
      <c r="H120" t="s">
        <v>108</v>
      </c>
      <c r="M120">
        <v>36122</v>
      </c>
      <c r="N120" t="s">
        <v>691</v>
      </c>
      <c r="O120" t="s">
        <v>3452</v>
      </c>
      <c r="P120">
        <v>3341</v>
      </c>
      <c r="Q120">
        <v>2018</v>
      </c>
      <c r="R120" t="s">
        <v>3451</v>
      </c>
      <c r="S120" t="s">
        <v>3450</v>
      </c>
    </row>
    <row r="121" spans="1:19" x14ac:dyDescent="0.2">
      <c r="A121" t="s">
        <v>3449</v>
      </c>
      <c r="B121" t="s">
        <v>3448</v>
      </c>
      <c r="C121">
        <v>12</v>
      </c>
      <c r="D121" t="s">
        <v>111</v>
      </c>
      <c r="E121">
        <v>0</v>
      </c>
      <c r="F121" t="s">
        <v>3447</v>
      </c>
      <c r="G121" t="s">
        <v>109</v>
      </c>
      <c r="H121" t="s">
        <v>117</v>
      </c>
      <c r="M121">
        <v>376</v>
      </c>
      <c r="N121" t="s">
        <v>931</v>
      </c>
      <c r="O121" t="s">
        <v>3446</v>
      </c>
      <c r="P121">
        <v>3372</v>
      </c>
      <c r="Q121">
        <v>8320</v>
      </c>
      <c r="R121" t="s">
        <v>3445</v>
      </c>
      <c r="S121" t="s">
        <v>3444</v>
      </c>
    </row>
    <row r="122" spans="1:19" x14ac:dyDescent="0.2">
      <c r="A122" t="s">
        <v>3443</v>
      </c>
      <c r="B122" t="s">
        <v>89</v>
      </c>
      <c r="C122">
        <v>9</v>
      </c>
      <c r="D122" t="s">
        <v>388</v>
      </c>
      <c r="E122">
        <v>0</v>
      </c>
      <c r="F122" t="s">
        <v>3442</v>
      </c>
      <c r="G122" t="s">
        <v>118</v>
      </c>
      <c r="H122" t="s">
        <v>117</v>
      </c>
      <c r="I122">
        <v>0.83762303225097601</v>
      </c>
      <c r="K122">
        <v>24</v>
      </c>
      <c r="M122">
        <v>500</v>
      </c>
      <c r="N122" t="s">
        <v>2929</v>
      </c>
      <c r="O122" t="s">
        <v>2928</v>
      </c>
      <c r="P122">
        <v>3374</v>
      </c>
      <c r="Q122">
        <v>2034</v>
      </c>
      <c r="R122" t="s">
        <v>3441</v>
      </c>
      <c r="S122" t="s">
        <v>3440</v>
      </c>
    </row>
    <row r="123" spans="1:19" x14ac:dyDescent="0.2">
      <c r="A123" t="s">
        <v>3439</v>
      </c>
      <c r="B123" t="s">
        <v>3438</v>
      </c>
      <c r="C123">
        <v>13</v>
      </c>
      <c r="D123" t="s">
        <v>363</v>
      </c>
      <c r="E123">
        <v>0</v>
      </c>
      <c r="F123" t="s">
        <v>3437</v>
      </c>
      <c r="G123" t="s">
        <v>118</v>
      </c>
      <c r="H123" t="s">
        <v>117</v>
      </c>
      <c r="I123">
        <v>0.98354122872542404</v>
      </c>
      <c r="J123">
        <v>0.87738693170872895</v>
      </c>
      <c r="K123">
        <v>79</v>
      </c>
      <c r="L123">
        <v>16</v>
      </c>
      <c r="M123">
        <v>500</v>
      </c>
      <c r="N123" t="s">
        <v>1078</v>
      </c>
      <c r="O123" t="s">
        <v>3145</v>
      </c>
      <c r="P123">
        <v>3446</v>
      </c>
      <c r="Q123">
        <v>2078</v>
      </c>
      <c r="R123" t="s">
        <v>3436</v>
      </c>
      <c r="S123" t="s">
        <v>3435</v>
      </c>
    </row>
    <row r="124" spans="1:19" x14ac:dyDescent="0.2">
      <c r="A124" t="s">
        <v>3434</v>
      </c>
      <c r="B124" t="s">
        <v>3433</v>
      </c>
      <c r="C124">
        <v>15</v>
      </c>
      <c r="D124" t="s">
        <v>363</v>
      </c>
      <c r="E124">
        <v>0</v>
      </c>
      <c r="F124" t="s">
        <v>3432</v>
      </c>
      <c r="G124" t="s">
        <v>118</v>
      </c>
      <c r="H124" t="s">
        <v>117</v>
      </c>
      <c r="I124">
        <v>0.95621026361209804</v>
      </c>
      <c r="J124">
        <v>0.97415512173755003</v>
      </c>
      <c r="K124">
        <v>31</v>
      </c>
      <c r="L124">
        <v>3</v>
      </c>
      <c r="M124">
        <v>284</v>
      </c>
      <c r="N124" t="s">
        <v>1483</v>
      </c>
      <c r="O124" t="s">
        <v>3407</v>
      </c>
      <c r="P124">
        <v>3471</v>
      </c>
      <c r="Q124">
        <v>2101</v>
      </c>
      <c r="R124" t="s">
        <v>3431</v>
      </c>
      <c r="S124" t="s">
        <v>3430</v>
      </c>
    </row>
    <row r="125" spans="1:19" x14ac:dyDescent="0.2">
      <c r="A125" t="s">
        <v>3429</v>
      </c>
      <c r="B125" t="s">
        <v>3428</v>
      </c>
      <c r="C125">
        <v>9</v>
      </c>
      <c r="D125" t="s">
        <v>363</v>
      </c>
      <c r="E125">
        <v>0</v>
      </c>
      <c r="F125" t="s">
        <v>3427</v>
      </c>
      <c r="G125" t="s">
        <v>229</v>
      </c>
      <c r="H125" t="s">
        <v>228</v>
      </c>
      <c r="M125">
        <v>3687</v>
      </c>
      <c r="N125" t="s">
        <v>1483</v>
      </c>
      <c r="O125" t="s">
        <v>3407</v>
      </c>
      <c r="P125">
        <v>3473</v>
      </c>
      <c r="Q125">
        <v>2103</v>
      </c>
      <c r="R125" t="s">
        <v>3426</v>
      </c>
      <c r="S125" t="s">
        <v>3425</v>
      </c>
    </row>
    <row r="126" spans="1:19" x14ac:dyDescent="0.2">
      <c r="A126" t="s">
        <v>3424</v>
      </c>
      <c r="B126" t="s">
        <v>3423</v>
      </c>
      <c r="C126">
        <v>9</v>
      </c>
      <c r="D126" t="s">
        <v>388</v>
      </c>
      <c r="E126">
        <v>0</v>
      </c>
      <c r="F126" t="s">
        <v>3422</v>
      </c>
      <c r="G126" t="s">
        <v>229</v>
      </c>
      <c r="H126" t="s">
        <v>228</v>
      </c>
      <c r="M126">
        <v>14</v>
      </c>
      <c r="N126" t="s">
        <v>1483</v>
      </c>
      <c r="O126" t="s">
        <v>3407</v>
      </c>
      <c r="P126">
        <v>3474</v>
      </c>
      <c r="Q126">
        <v>2104</v>
      </c>
      <c r="R126" t="s">
        <v>3421</v>
      </c>
      <c r="S126" t="s">
        <v>3420</v>
      </c>
    </row>
    <row r="127" spans="1:19" x14ac:dyDescent="0.2">
      <c r="A127" t="s">
        <v>3419</v>
      </c>
      <c r="B127" t="s">
        <v>3416</v>
      </c>
      <c r="C127">
        <v>15</v>
      </c>
      <c r="D127" t="s">
        <v>363</v>
      </c>
      <c r="E127">
        <v>0</v>
      </c>
      <c r="F127" t="s">
        <v>3418</v>
      </c>
      <c r="G127" t="s">
        <v>118</v>
      </c>
      <c r="H127" t="s">
        <v>117</v>
      </c>
      <c r="I127">
        <v>0.97131728531738004</v>
      </c>
      <c r="J127">
        <v>0.99475680022732504</v>
      </c>
      <c r="K127">
        <v>432</v>
      </c>
      <c r="L127">
        <v>58</v>
      </c>
      <c r="M127">
        <v>500</v>
      </c>
      <c r="N127" t="s">
        <v>1483</v>
      </c>
      <c r="O127" t="s">
        <v>3407</v>
      </c>
      <c r="P127">
        <v>3467</v>
      </c>
      <c r="Q127">
        <v>2099</v>
      </c>
      <c r="R127" t="s">
        <v>3414</v>
      </c>
      <c r="S127" t="s">
        <v>3413</v>
      </c>
    </row>
    <row r="128" spans="1:19" x14ac:dyDescent="0.2">
      <c r="A128" t="s">
        <v>3417</v>
      </c>
      <c r="B128" t="s">
        <v>3416</v>
      </c>
      <c r="C128">
        <v>10</v>
      </c>
      <c r="D128" t="s">
        <v>363</v>
      </c>
      <c r="E128">
        <v>1</v>
      </c>
      <c r="F128" t="s">
        <v>3415</v>
      </c>
      <c r="G128" t="s">
        <v>118</v>
      </c>
      <c r="H128" t="s">
        <v>117</v>
      </c>
      <c r="I128">
        <v>0.93455051380950005</v>
      </c>
      <c r="J128">
        <v>0.95658662718219201</v>
      </c>
      <c r="K128">
        <v>432</v>
      </c>
      <c r="L128">
        <v>58</v>
      </c>
      <c r="M128">
        <v>500</v>
      </c>
      <c r="N128" t="s">
        <v>1483</v>
      </c>
      <c r="O128" t="s">
        <v>3407</v>
      </c>
      <c r="P128">
        <v>3467</v>
      </c>
      <c r="Q128">
        <v>2099</v>
      </c>
      <c r="R128" t="s">
        <v>3414</v>
      </c>
      <c r="S128" t="s">
        <v>3413</v>
      </c>
    </row>
    <row r="129" spans="1:19" x14ac:dyDescent="0.2">
      <c r="A129" t="s">
        <v>3412</v>
      </c>
      <c r="B129" t="s">
        <v>3409</v>
      </c>
      <c r="C129">
        <v>15</v>
      </c>
      <c r="D129" t="s">
        <v>363</v>
      </c>
      <c r="E129">
        <v>0</v>
      </c>
      <c r="F129" t="s">
        <v>3411</v>
      </c>
      <c r="G129" t="s">
        <v>118</v>
      </c>
      <c r="H129" t="s">
        <v>117</v>
      </c>
      <c r="I129">
        <v>0.94398167470634797</v>
      </c>
      <c r="J129">
        <v>0.94076371177992502</v>
      </c>
      <c r="K129">
        <v>11</v>
      </c>
      <c r="L129">
        <v>7</v>
      </c>
      <c r="M129">
        <v>497</v>
      </c>
      <c r="N129" t="s">
        <v>1483</v>
      </c>
      <c r="O129" t="s">
        <v>3407</v>
      </c>
      <c r="P129">
        <v>3468</v>
      </c>
      <c r="Q129">
        <v>2100</v>
      </c>
      <c r="R129" t="s">
        <v>3406</v>
      </c>
      <c r="S129" t="s">
        <v>3405</v>
      </c>
    </row>
    <row r="130" spans="1:19" x14ac:dyDescent="0.2">
      <c r="A130" t="s">
        <v>3410</v>
      </c>
      <c r="B130" t="s">
        <v>3409</v>
      </c>
      <c r="C130">
        <v>7</v>
      </c>
      <c r="D130" t="s">
        <v>363</v>
      </c>
      <c r="E130">
        <v>1</v>
      </c>
      <c r="F130" t="s">
        <v>3408</v>
      </c>
      <c r="G130" t="s">
        <v>118</v>
      </c>
      <c r="H130" t="s">
        <v>117</v>
      </c>
      <c r="I130">
        <v>0.87859196093879999</v>
      </c>
      <c r="J130">
        <v>0.85081889048581605</v>
      </c>
      <c r="K130">
        <v>11</v>
      </c>
      <c r="L130">
        <v>7</v>
      </c>
      <c r="M130">
        <v>500</v>
      </c>
      <c r="N130" t="s">
        <v>1483</v>
      </c>
      <c r="O130" t="s">
        <v>3407</v>
      </c>
      <c r="P130">
        <v>3468</v>
      </c>
      <c r="Q130">
        <v>2100</v>
      </c>
      <c r="R130" t="s">
        <v>3406</v>
      </c>
      <c r="S130" t="s">
        <v>3405</v>
      </c>
    </row>
    <row r="131" spans="1:19" x14ac:dyDescent="0.2">
      <c r="A131" t="s">
        <v>3404</v>
      </c>
      <c r="B131" t="s">
        <v>3403</v>
      </c>
      <c r="C131">
        <v>17</v>
      </c>
      <c r="D131" t="s">
        <v>111</v>
      </c>
      <c r="E131">
        <v>0</v>
      </c>
      <c r="F131" t="s">
        <v>3402</v>
      </c>
      <c r="G131" t="s">
        <v>109</v>
      </c>
      <c r="H131" t="s">
        <v>108</v>
      </c>
      <c r="M131">
        <v>8289</v>
      </c>
      <c r="N131" t="s">
        <v>671</v>
      </c>
      <c r="O131" t="s">
        <v>3401</v>
      </c>
      <c r="P131">
        <v>14865</v>
      </c>
      <c r="Q131">
        <v>80712</v>
      </c>
      <c r="R131" t="s">
        <v>3400</v>
      </c>
      <c r="S131" t="s">
        <v>3399</v>
      </c>
    </row>
    <row r="132" spans="1:19" x14ac:dyDescent="0.2">
      <c r="A132" t="s">
        <v>3398</v>
      </c>
      <c r="B132" t="s">
        <v>3397</v>
      </c>
      <c r="C132">
        <v>13</v>
      </c>
      <c r="D132" t="s">
        <v>363</v>
      </c>
      <c r="E132">
        <v>0</v>
      </c>
      <c r="F132" t="s">
        <v>3396</v>
      </c>
      <c r="G132" t="s">
        <v>118</v>
      </c>
      <c r="H132" t="s">
        <v>117</v>
      </c>
      <c r="I132">
        <v>0.962713402592701</v>
      </c>
      <c r="J132">
        <v>0.92738686342605103</v>
      </c>
      <c r="K132">
        <v>45</v>
      </c>
      <c r="L132">
        <v>33</v>
      </c>
      <c r="M132">
        <v>500</v>
      </c>
      <c r="N132" t="s">
        <v>1078</v>
      </c>
      <c r="O132" t="s">
        <v>3145</v>
      </c>
      <c r="P132">
        <v>3488</v>
      </c>
      <c r="Q132">
        <v>2113</v>
      </c>
      <c r="R132" t="s">
        <v>3395</v>
      </c>
      <c r="S132" t="s">
        <v>3394</v>
      </c>
    </row>
    <row r="133" spans="1:19" x14ac:dyDescent="0.2">
      <c r="A133" t="s">
        <v>3393</v>
      </c>
      <c r="B133" t="s">
        <v>71</v>
      </c>
      <c r="C133">
        <v>13</v>
      </c>
      <c r="D133" t="s">
        <v>388</v>
      </c>
      <c r="E133">
        <v>0</v>
      </c>
      <c r="F133" t="s">
        <v>3392</v>
      </c>
      <c r="G133" t="s">
        <v>118</v>
      </c>
      <c r="H133" t="s">
        <v>117</v>
      </c>
      <c r="J133">
        <v>0.83633647130174904</v>
      </c>
      <c r="L133">
        <v>12</v>
      </c>
      <c r="M133">
        <v>500</v>
      </c>
      <c r="N133" t="s">
        <v>1078</v>
      </c>
      <c r="O133" t="s">
        <v>3145</v>
      </c>
      <c r="P133">
        <v>3489</v>
      </c>
      <c r="Q133">
        <v>2114</v>
      </c>
      <c r="R133" t="s">
        <v>3391</v>
      </c>
      <c r="S133" t="s">
        <v>3390</v>
      </c>
    </row>
    <row r="134" spans="1:19" x14ac:dyDescent="0.2">
      <c r="A134" t="s">
        <v>3389</v>
      </c>
      <c r="B134" t="s">
        <v>3388</v>
      </c>
      <c r="C134">
        <v>11</v>
      </c>
      <c r="D134" t="s">
        <v>363</v>
      </c>
      <c r="E134">
        <v>0</v>
      </c>
      <c r="F134" t="s">
        <v>3387</v>
      </c>
      <c r="G134" t="s">
        <v>118</v>
      </c>
      <c r="H134" t="s">
        <v>117</v>
      </c>
      <c r="I134">
        <v>0.94125045166576304</v>
      </c>
      <c r="K134">
        <v>8</v>
      </c>
      <c r="M134">
        <v>500</v>
      </c>
      <c r="N134" t="s">
        <v>1078</v>
      </c>
      <c r="O134" t="s">
        <v>3366</v>
      </c>
      <c r="P134">
        <v>3490</v>
      </c>
      <c r="Q134">
        <v>2115</v>
      </c>
      <c r="R134" t="s">
        <v>3386</v>
      </c>
      <c r="S134" t="s">
        <v>3385</v>
      </c>
    </row>
    <row r="135" spans="1:19" x14ac:dyDescent="0.2">
      <c r="A135" t="s">
        <v>3384</v>
      </c>
      <c r="B135" t="s">
        <v>3383</v>
      </c>
      <c r="C135">
        <v>16</v>
      </c>
      <c r="D135" t="s">
        <v>388</v>
      </c>
      <c r="E135">
        <v>0</v>
      </c>
      <c r="F135" t="s">
        <v>3382</v>
      </c>
      <c r="G135" t="s">
        <v>118</v>
      </c>
      <c r="H135" t="s">
        <v>117</v>
      </c>
      <c r="J135">
        <v>0.98085301082402798</v>
      </c>
      <c r="L135">
        <v>6</v>
      </c>
      <c r="M135">
        <v>230</v>
      </c>
      <c r="N135" t="s">
        <v>1078</v>
      </c>
      <c r="O135" t="s">
        <v>3145</v>
      </c>
      <c r="P135">
        <v>3491</v>
      </c>
      <c r="Q135">
        <v>2116</v>
      </c>
      <c r="R135" t="s">
        <v>3381</v>
      </c>
      <c r="S135" t="s">
        <v>3380</v>
      </c>
    </row>
    <row r="136" spans="1:19" x14ac:dyDescent="0.2">
      <c r="A136" t="s">
        <v>3379</v>
      </c>
      <c r="B136" t="s">
        <v>3378</v>
      </c>
      <c r="C136">
        <v>14</v>
      </c>
      <c r="D136" t="s">
        <v>111</v>
      </c>
      <c r="E136">
        <v>0</v>
      </c>
      <c r="F136" t="s">
        <v>3377</v>
      </c>
      <c r="G136" t="s">
        <v>109</v>
      </c>
      <c r="H136" t="s">
        <v>108</v>
      </c>
      <c r="M136">
        <v>12</v>
      </c>
      <c r="N136" t="s">
        <v>1078</v>
      </c>
      <c r="O136" t="s">
        <v>3145</v>
      </c>
      <c r="P136">
        <v>3492</v>
      </c>
      <c r="Q136">
        <v>2117</v>
      </c>
      <c r="R136" t="s">
        <v>3376</v>
      </c>
      <c r="S136" t="s">
        <v>3375</v>
      </c>
    </row>
    <row r="137" spans="1:19" x14ac:dyDescent="0.2">
      <c r="A137" t="s">
        <v>3374</v>
      </c>
      <c r="B137" t="s">
        <v>3373</v>
      </c>
      <c r="C137">
        <v>11</v>
      </c>
      <c r="D137" t="s">
        <v>388</v>
      </c>
      <c r="E137">
        <v>0</v>
      </c>
      <c r="F137" t="s">
        <v>3372</v>
      </c>
      <c r="G137" t="s">
        <v>118</v>
      </c>
      <c r="H137" t="s">
        <v>117</v>
      </c>
      <c r="I137">
        <v>0.81881667583329398</v>
      </c>
      <c r="K137">
        <v>5</v>
      </c>
      <c r="M137">
        <v>500</v>
      </c>
      <c r="N137" t="s">
        <v>1078</v>
      </c>
      <c r="O137" t="s">
        <v>3366</v>
      </c>
      <c r="P137">
        <v>3493</v>
      </c>
      <c r="Q137">
        <v>2118</v>
      </c>
      <c r="R137" t="s">
        <v>3371</v>
      </c>
      <c r="S137" t="s">
        <v>3370</v>
      </c>
    </row>
    <row r="138" spans="1:19" x14ac:dyDescent="0.2">
      <c r="A138" t="s">
        <v>3369</v>
      </c>
      <c r="B138" t="s">
        <v>3368</v>
      </c>
      <c r="C138">
        <v>14</v>
      </c>
      <c r="D138" t="s">
        <v>120</v>
      </c>
      <c r="E138">
        <v>0</v>
      </c>
      <c r="F138" t="s">
        <v>3367</v>
      </c>
      <c r="G138" t="s">
        <v>118</v>
      </c>
      <c r="H138" t="s">
        <v>117</v>
      </c>
      <c r="I138">
        <v>0.86749851441100101</v>
      </c>
      <c r="K138">
        <v>3</v>
      </c>
      <c r="M138">
        <v>500</v>
      </c>
      <c r="N138" t="s">
        <v>1078</v>
      </c>
      <c r="O138" t="s">
        <v>3366</v>
      </c>
      <c r="P138">
        <v>3494</v>
      </c>
      <c r="Q138">
        <v>2119</v>
      </c>
      <c r="R138" t="s">
        <v>3365</v>
      </c>
      <c r="S138" t="s">
        <v>3364</v>
      </c>
    </row>
    <row r="139" spans="1:19" x14ac:dyDescent="0.2">
      <c r="A139" t="s">
        <v>3363</v>
      </c>
      <c r="B139" t="s">
        <v>3362</v>
      </c>
      <c r="C139">
        <v>9</v>
      </c>
      <c r="D139" t="s">
        <v>111</v>
      </c>
      <c r="E139">
        <v>0</v>
      </c>
      <c r="F139" t="s">
        <v>3361</v>
      </c>
      <c r="G139" t="s">
        <v>118</v>
      </c>
      <c r="H139" t="s">
        <v>117</v>
      </c>
      <c r="J139">
        <v>0.85341532279100196</v>
      </c>
      <c r="L139">
        <v>3</v>
      </c>
      <c r="M139">
        <v>500</v>
      </c>
      <c r="N139" t="s">
        <v>1078</v>
      </c>
      <c r="O139" t="s">
        <v>3355</v>
      </c>
      <c r="P139">
        <v>3495</v>
      </c>
      <c r="Q139">
        <v>2120</v>
      </c>
      <c r="R139" t="s">
        <v>3360</v>
      </c>
      <c r="S139" t="s">
        <v>3359</v>
      </c>
    </row>
    <row r="140" spans="1:19" x14ac:dyDescent="0.2">
      <c r="A140" t="s">
        <v>3358</v>
      </c>
      <c r="B140" t="s">
        <v>3357</v>
      </c>
      <c r="C140">
        <v>7</v>
      </c>
      <c r="D140" t="s">
        <v>111</v>
      </c>
      <c r="E140">
        <v>0</v>
      </c>
      <c r="F140" t="s">
        <v>3356</v>
      </c>
      <c r="G140" t="s">
        <v>118</v>
      </c>
      <c r="H140" t="s">
        <v>117</v>
      </c>
      <c r="I140">
        <v>0.72935667246525804</v>
      </c>
      <c r="K140">
        <v>3</v>
      </c>
      <c r="M140">
        <v>500</v>
      </c>
      <c r="N140" t="s">
        <v>1078</v>
      </c>
      <c r="O140" t="s">
        <v>3355</v>
      </c>
      <c r="P140">
        <v>18160</v>
      </c>
      <c r="Q140">
        <v>51513</v>
      </c>
      <c r="R140" t="s">
        <v>3354</v>
      </c>
      <c r="S140" t="s">
        <v>3353</v>
      </c>
    </row>
    <row r="141" spans="1:19" x14ac:dyDescent="0.2">
      <c r="A141" t="s">
        <v>3352</v>
      </c>
      <c r="B141" t="s">
        <v>3351</v>
      </c>
      <c r="C141">
        <v>16</v>
      </c>
      <c r="D141" t="s">
        <v>388</v>
      </c>
      <c r="E141">
        <v>0</v>
      </c>
      <c r="F141" t="s">
        <v>3350</v>
      </c>
      <c r="G141" t="s">
        <v>229</v>
      </c>
      <c r="H141" t="s">
        <v>228</v>
      </c>
      <c r="M141">
        <v>141</v>
      </c>
      <c r="N141" t="s">
        <v>137</v>
      </c>
      <c r="O141" t="s">
        <v>3349</v>
      </c>
      <c r="P141">
        <v>3498</v>
      </c>
      <c r="Q141">
        <v>2122</v>
      </c>
      <c r="R141" t="s">
        <v>3348</v>
      </c>
      <c r="S141" t="s">
        <v>3347</v>
      </c>
    </row>
    <row r="142" spans="1:19" x14ac:dyDescent="0.2">
      <c r="A142" t="s">
        <v>3346</v>
      </c>
      <c r="B142" t="s">
        <v>3345</v>
      </c>
      <c r="C142">
        <v>10</v>
      </c>
      <c r="D142" t="s">
        <v>388</v>
      </c>
      <c r="E142">
        <v>0</v>
      </c>
      <c r="F142" t="s">
        <v>3344</v>
      </c>
      <c r="G142" t="s">
        <v>118</v>
      </c>
      <c r="H142" t="s">
        <v>117</v>
      </c>
      <c r="I142">
        <v>0.75336018959265305</v>
      </c>
      <c r="J142">
        <v>0.88674821775930202</v>
      </c>
      <c r="K142">
        <v>2</v>
      </c>
      <c r="L142">
        <v>4</v>
      </c>
      <c r="M142">
        <v>498</v>
      </c>
      <c r="N142" t="s">
        <v>1078</v>
      </c>
      <c r="O142" t="s">
        <v>3145</v>
      </c>
      <c r="P142">
        <v>18562</v>
      </c>
      <c r="Q142">
        <v>54738</v>
      </c>
      <c r="R142" t="s">
        <v>3343</v>
      </c>
      <c r="S142" t="s">
        <v>3342</v>
      </c>
    </row>
    <row r="143" spans="1:19" x14ac:dyDescent="0.2">
      <c r="A143" t="s">
        <v>3341</v>
      </c>
      <c r="B143" t="s">
        <v>3340</v>
      </c>
      <c r="C143">
        <v>12</v>
      </c>
      <c r="D143" t="s">
        <v>120</v>
      </c>
      <c r="E143">
        <v>0</v>
      </c>
      <c r="F143" t="s">
        <v>3339</v>
      </c>
      <c r="G143" t="s">
        <v>118</v>
      </c>
      <c r="H143" t="s">
        <v>117</v>
      </c>
      <c r="I143">
        <v>0.80080720189794896</v>
      </c>
      <c r="K143">
        <v>3</v>
      </c>
      <c r="M143">
        <v>500</v>
      </c>
      <c r="N143" t="s">
        <v>107</v>
      </c>
      <c r="O143" t="s">
        <v>3338</v>
      </c>
      <c r="P143">
        <v>22788</v>
      </c>
      <c r="Q143">
        <v>389549</v>
      </c>
      <c r="R143" t="s">
        <v>3337</v>
      </c>
      <c r="S143" t="s">
        <v>3336</v>
      </c>
    </row>
    <row r="144" spans="1:19" x14ac:dyDescent="0.2">
      <c r="A144" t="s">
        <v>3335</v>
      </c>
      <c r="B144" t="s">
        <v>3334</v>
      </c>
      <c r="C144">
        <v>11</v>
      </c>
      <c r="D144" t="s">
        <v>111</v>
      </c>
      <c r="E144">
        <v>0</v>
      </c>
      <c r="F144" t="s">
        <v>3333</v>
      </c>
      <c r="G144" t="s">
        <v>109</v>
      </c>
      <c r="H144" t="s">
        <v>108</v>
      </c>
      <c r="M144">
        <v>159</v>
      </c>
      <c r="N144" t="s">
        <v>753</v>
      </c>
      <c r="O144" t="s">
        <v>752</v>
      </c>
      <c r="P144">
        <v>24669</v>
      </c>
      <c r="Q144">
        <v>344018</v>
      </c>
      <c r="R144" t="s">
        <v>3332</v>
      </c>
      <c r="S144" t="s">
        <v>3331</v>
      </c>
    </row>
    <row r="145" spans="1:19" x14ac:dyDescent="0.2">
      <c r="A145" t="s">
        <v>3330</v>
      </c>
      <c r="B145" t="s">
        <v>3327</v>
      </c>
      <c r="C145">
        <v>18</v>
      </c>
      <c r="D145" t="s">
        <v>363</v>
      </c>
      <c r="E145">
        <v>0</v>
      </c>
      <c r="F145" t="s">
        <v>3329</v>
      </c>
      <c r="G145" t="s">
        <v>118</v>
      </c>
      <c r="H145" t="s">
        <v>117</v>
      </c>
      <c r="I145">
        <v>0.98743797510285303</v>
      </c>
      <c r="J145">
        <v>0.89185431672959903</v>
      </c>
      <c r="K145">
        <v>50</v>
      </c>
      <c r="L145">
        <v>32</v>
      </c>
      <c r="M145">
        <v>529</v>
      </c>
      <c r="N145" t="s">
        <v>1078</v>
      </c>
      <c r="O145" t="s">
        <v>3145</v>
      </c>
      <c r="P145">
        <v>3749</v>
      </c>
      <c r="Q145">
        <v>2313</v>
      </c>
      <c r="R145" t="s">
        <v>3325</v>
      </c>
      <c r="S145" t="s">
        <v>3324</v>
      </c>
    </row>
    <row r="146" spans="1:19" x14ac:dyDescent="0.2">
      <c r="A146" t="s">
        <v>3328</v>
      </c>
      <c r="B146" t="s">
        <v>3327</v>
      </c>
      <c r="C146">
        <v>13</v>
      </c>
      <c r="D146" t="s">
        <v>363</v>
      </c>
      <c r="E146">
        <v>1</v>
      </c>
      <c r="F146" t="s">
        <v>3326</v>
      </c>
      <c r="G146" t="s">
        <v>118</v>
      </c>
      <c r="H146" t="s">
        <v>117</v>
      </c>
      <c r="I146">
        <v>0.98643742775771104</v>
      </c>
      <c r="J146">
        <v>0.95274503106369102</v>
      </c>
      <c r="K146">
        <v>50</v>
      </c>
      <c r="L146">
        <v>32</v>
      </c>
      <c r="M146">
        <v>500</v>
      </c>
      <c r="N146" t="s">
        <v>1078</v>
      </c>
      <c r="O146" t="s">
        <v>3145</v>
      </c>
      <c r="P146">
        <v>3749</v>
      </c>
      <c r="Q146">
        <v>2313</v>
      </c>
      <c r="R146" t="s">
        <v>3325</v>
      </c>
      <c r="S146" t="s">
        <v>3324</v>
      </c>
    </row>
    <row r="147" spans="1:19" x14ac:dyDescent="0.2">
      <c r="A147" t="s">
        <v>3323</v>
      </c>
      <c r="B147" t="s">
        <v>3322</v>
      </c>
      <c r="C147">
        <v>9</v>
      </c>
      <c r="D147" t="s">
        <v>363</v>
      </c>
      <c r="E147">
        <v>0</v>
      </c>
      <c r="F147" t="s">
        <v>3307</v>
      </c>
      <c r="G147" t="s">
        <v>118</v>
      </c>
      <c r="H147" t="s">
        <v>117</v>
      </c>
      <c r="I147">
        <v>0.97426618116138997</v>
      </c>
      <c r="J147">
        <v>0.91692505427766402</v>
      </c>
      <c r="K147">
        <v>2</v>
      </c>
      <c r="L147">
        <v>27</v>
      </c>
      <c r="M147">
        <v>500</v>
      </c>
      <c r="N147" t="s">
        <v>2532</v>
      </c>
      <c r="O147" t="s">
        <v>3306</v>
      </c>
      <c r="P147">
        <v>3797</v>
      </c>
      <c r="Q147">
        <v>2354</v>
      </c>
      <c r="R147" t="s">
        <v>3321</v>
      </c>
      <c r="S147" t="s">
        <v>3320</v>
      </c>
    </row>
    <row r="148" spans="1:19" x14ac:dyDescent="0.2">
      <c r="A148" t="s">
        <v>3319</v>
      </c>
      <c r="B148" t="s">
        <v>3318</v>
      </c>
      <c r="C148">
        <v>12</v>
      </c>
      <c r="D148" t="s">
        <v>363</v>
      </c>
      <c r="E148">
        <v>0</v>
      </c>
      <c r="F148" t="s">
        <v>3317</v>
      </c>
      <c r="G148" t="s">
        <v>118</v>
      </c>
      <c r="H148" t="s">
        <v>117</v>
      </c>
      <c r="I148">
        <v>0.98755591492572004</v>
      </c>
      <c r="J148">
        <v>0.95192434759234901</v>
      </c>
      <c r="K148">
        <v>21</v>
      </c>
      <c r="L148">
        <v>2</v>
      </c>
      <c r="M148">
        <v>500</v>
      </c>
      <c r="N148" t="s">
        <v>2532</v>
      </c>
      <c r="O148" t="s">
        <v>3306</v>
      </c>
      <c r="P148">
        <v>13718</v>
      </c>
      <c r="Q148">
        <v>8061</v>
      </c>
      <c r="R148" t="s">
        <v>3316</v>
      </c>
      <c r="S148" t="s">
        <v>3315</v>
      </c>
    </row>
    <row r="149" spans="1:19" x14ac:dyDescent="0.2">
      <c r="A149" t="s">
        <v>3314</v>
      </c>
      <c r="B149" t="s">
        <v>3313</v>
      </c>
      <c r="C149">
        <v>12</v>
      </c>
      <c r="D149" t="s">
        <v>363</v>
      </c>
      <c r="E149">
        <v>0</v>
      </c>
      <c r="F149" t="s">
        <v>3312</v>
      </c>
      <c r="G149" t="s">
        <v>118</v>
      </c>
      <c r="H149" t="s">
        <v>117</v>
      </c>
      <c r="I149">
        <v>0.99657988700688305</v>
      </c>
      <c r="J149">
        <v>0.97572084638656897</v>
      </c>
      <c r="K149">
        <v>27</v>
      </c>
      <c r="L149">
        <v>5</v>
      </c>
      <c r="M149">
        <v>500</v>
      </c>
      <c r="N149" t="s">
        <v>2532</v>
      </c>
      <c r="O149" t="s">
        <v>3306</v>
      </c>
      <c r="P149">
        <v>3798</v>
      </c>
      <c r="Q149">
        <v>2355</v>
      </c>
      <c r="R149" t="s">
        <v>3311</v>
      </c>
      <c r="S149" t="s">
        <v>3310</v>
      </c>
    </row>
    <row r="150" spans="1:19" x14ac:dyDescent="0.2">
      <c r="A150" t="s">
        <v>3309</v>
      </c>
      <c r="B150" t="s">
        <v>3308</v>
      </c>
      <c r="C150">
        <v>9</v>
      </c>
      <c r="D150" t="s">
        <v>363</v>
      </c>
      <c r="E150">
        <v>0</v>
      </c>
      <c r="F150" t="s">
        <v>3307</v>
      </c>
      <c r="G150" t="s">
        <v>118</v>
      </c>
      <c r="H150" t="s">
        <v>117</v>
      </c>
      <c r="I150">
        <v>0.99310803192928798</v>
      </c>
      <c r="J150">
        <v>0.92935979086547205</v>
      </c>
      <c r="K150">
        <v>38</v>
      </c>
      <c r="L150">
        <v>50</v>
      </c>
      <c r="M150">
        <v>500</v>
      </c>
      <c r="N150" t="s">
        <v>2532</v>
      </c>
      <c r="O150" t="s">
        <v>3306</v>
      </c>
      <c r="P150">
        <v>3796</v>
      </c>
      <c r="Q150">
        <v>2353</v>
      </c>
      <c r="R150" t="s">
        <v>3305</v>
      </c>
      <c r="S150" t="s">
        <v>3304</v>
      </c>
    </row>
    <row r="151" spans="1:19" x14ac:dyDescent="0.2">
      <c r="A151" t="s">
        <v>3303</v>
      </c>
      <c r="B151" t="s">
        <v>3302</v>
      </c>
      <c r="C151">
        <v>12</v>
      </c>
      <c r="D151" t="s">
        <v>363</v>
      </c>
      <c r="E151">
        <v>0</v>
      </c>
      <c r="F151" t="s">
        <v>3301</v>
      </c>
      <c r="G151" t="s">
        <v>118</v>
      </c>
      <c r="H151" t="s">
        <v>117</v>
      </c>
      <c r="I151">
        <v>0.98816289405839297</v>
      </c>
      <c r="J151">
        <v>0.97439913797779898</v>
      </c>
      <c r="K151">
        <v>199</v>
      </c>
      <c r="L151">
        <v>28</v>
      </c>
      <c r="M151">
        <v>500</v>
      </c>
      <c r="N151" t="s">
        <v>3157</v>
      </c>
      <c r="O151" t="s">
        <v>3290</v>
      </c>
      <c r="P151">
        <v>5021</v>
      </c>
      <c r="Q151">
        <v>3169</v>
      </c>
      <c r="R151" t="s">
        <v>3300</v>
      </c>
      <c r="S151" t="s">
        <v>3299</v>
      </c>
    </row>
    <row r="152" spans="1:19" x14ac:dyDescent="0.2">
      <c r="A152" t="s">
        <v>3298</v>
      </c>
      <c r="B152" t="s">
        <v>3297</v>
      </c>
      <c r="C152">
        <v>12</v>
      </c>
      <c r="D152" t="s">
        <v>363</v>
      </c>
      <c r="E152">
        <v>0</v>
      </c>
      <c r="F152" t="s">
        <v>3296</v>
      </c>
      <c r="G152" t="s">
        <v>118</v>
      </c>
      <c r="H152" t="s">
        <v>117</v>
      </c>
      <c r="I152">
        <v>0.98194813965372596</v>
      </c>
      <c r="J152">
        <v>0.98818695373749699</v>
      </c>
      <c r="K152">
        <v>22</v>
      </c>
      <c r="L152">
        <v>34</v>
      </c>
      <c r="M152">
        <v>500</v>
      </c>
      <c r="N152" t="s">
        <v>3157</v>
      </c>
      <c r="O152" t="s">
        <v>3290</v>
      </c>
      <c r="P152">
        <v>5022</v>
      </c>
      <c r="Q152">
        <v>3170</v>
      </c>
      <c r="R152" t="s">
        <v>3295</v>
      </c>
      <c r="S152" t="s">
        <v>3294</v>
      </c>
    </row>
    <row r="153" spans="1:19" x14ac:dyDescent="0.2">
      <c r="A153" t="s">
        <v>3293</v>
      </c>
      <c r="B153" t="s">
        <v>3292</v>
      </c>
      <c r="C153">
        <v>13</v>
      </c>
      <c r="D153" t="s">
        <v>388</v>
      </c>
      <c r="E153">
        <v>0</v>
      </c>
      <c r="F153" t="s">
        <v>3291</v>
      </c>
      <c r="G153" t="s">
        <v>118</v>
      </c>
      <c r="H153" t="s">
        <v>117</v>
      </c>
      <c r="J153">
        <v>0.98767731595012898</v>
      </c>
      <c r="L153">
        <v>6</v>
      </c>
      <c r="M153">
        <v>500</v>
      </c>
      <c r="N153" t="s">
        <v>3157</v>
      </c>
      <c r="O153" t="s">
        <v>3290</v>
      </c>
      <c r="P153">
        <v>5023</v>
      </c>
      <c r="Q153">
        <v>3171</v>
      </c>
      <c r="R153" t="s">
        <v>3289</v>
      </c>
      <c r="S153" t="s">
        <v>3288</v>
      </c>
    </row>
    <row r="154" spans="1:19" x14ac:dyDescent="0.2">
      <c r="A154" t="s">
        <v>3287</v>
      </c>
      <c r="B154" t="s">
        <v>3286</v>
      </c>
      <c r="C154">
        <v>17</v>
      </c>
      <c r="D154" t="s">
        <v>111</v>
      </c>
      <c r="E154">
        <v>0</v>
      </c>
      <c r="F154" t="s">
        <v>3285</v>
      </c>
      <c r="G154" t="s">
        <v>109</v>
      </c>
      <c r="H154" t="s">
        <v>108</v>
      </c>
      <c r="M154">
        <v>6619</v>
      </c>
      <c r="N154" t="s">
        <v>3157</v>
      </c>
      <c r="O154" t="s">
        <v>3284</v>
      </c>
      <c r="P154">
        <v>3799</v>
      </c>
      <c r="Q154">
        <v>27023</v>
      </c>
      <c r="R154" t="s">
        <v>3283</v>
      </c>
      <c r="S154" t="s">
        <v>3282</v>
      </c>
    </row>
    <row r="155" spans="1:19" x14ac:dyDescent="0.2">
      <c r="A155" t="s">
        <v>3281</v>
      </c>
      <c r="B155" t="s">
        <v>39</v>
      </c>
      <c r="C155">
        <v>15</v>
      </c>
      <c r="D155" t="s">
        <v>120</v>
      </c>
      <c r="E155">
        <v>0</v>
      </c>
      <c r="F155" t="s">
        <v>3280</v>
      </c>
      <c r="G155" t="s">
        <v>229</v>
      </c>
      <c r="H155" t="s">
        <v>228</v>
      </c>
      <c r="M155">
        <v>26</v>
      </c>
      <c r="N155" t="s">
        <v>3157</v>
      </c>
      <c r="O155" t="s">
        <v>3274</v>
      </c>
      <c r="P155">
        <v>3800</v>
      </c>
      <c r="Q155">
        <v>2296</v>
      </c>
      <c r="R155" t="s">
        <v>3279</v>
      </c>
      <c r="S155" t="s">
        <v>3278</v>
      </c>
    </row>
    <row r="156" spans="1:19" x14ac:dyDescent="0.2">
      <c r="A156" t="s">
        <v>3277</v>
      </c>
      <c r="B156" t="s">
        <v>3276</v>
      </c>
      <c r="C156">
        <v>15</v>
      </c>
      <c r="D156" t="s">
        <v>111</v>
      </c>
      <c r="E156">
        <v>0</v>
      </c>
      <c r="F156" t="s">
        <v>3275</v>
      </c>
      <c r="G156" t="s">
        <v>229</v>
      </c>
      <c r="H156" t="s">
        <v>228</v>
      </c>
      <c r="M156">
        <v>5</v>
      </c>
      <c r="N156" t="s">
        <v>3157</v>
      </c>
      <c r="O156" t="s">
        <v>3274</v>
      </c>
      <c r="P156">
        <v>3801</v>
      </c>
      <c r="Q156">
        <v>2303</v>
      </c>
      <c r="R156" t="s">
        <v>3273</v>
      </c>
      <c r="S156" t="s">
        <v>3272</v>
      </c>
    </row>
    <row r="157" spans="1:19" x14ac:dyDescent="0.2">
      <c r="A157" t="s">
        <v>3271</v>
      </c>
      <c r="B157" t="s">
        <v>3270</v>
      </c>
      <c r="C157">
        <v>15</v>
      </c>
      <c r="D157" t="s">
        <v>111</v>
      </c>
      <c r="E157">
        <v>0</v>
      </c>
      <c r="F157" t="s">
        <v>3269</v>
      </c>
      <c r="G157" t="s">
        <v>229</v>
      </c>
      <c r="H157" t="s">
        <v>228</v>
      </c>
      <c r="M157">
        <v>22</v>
      </c>
      <c r="N157" t="s">
        <v>3157</v>
      </c>
      <c r="O157" t="s">
        <v>3258</v>
      </c>
      <c r="P157">
        <v>3802</v>
      </c>
      <c r="Q157">
        <v>2297</v>
      </c>
      <c r="R157" t="s">
        <v>3268</v>
      </c>
      <c r="S157" t="s">
        <v>3267</v>
      </c>
    </row>
    <row r="158" spans="1:19" x14ac:dyDescent="0.2">
      <c r="A158" t="s">
        <v>3266</v>
      </c>
      <c r="B158" t="s">
        <v>3265</v>
      </c>
      <c r="C158">
        <v>19</v>
      </c>
      <c r="D158" t="s">
        <v>111</v>
      </c>
      <c r="E158">
        <v>0</v>
      </c>
      <c r="F158" t="s">
        <v>3264</v>
      </c>
      <c r="G158" t="s">
        <v>109</v>
      </c>
      <c r="H158" t="s">
        <v>108</v>
      </c>
      <c r="M158">
        <v>968</v>
      </c>
      <c r="N158" t="s">
        <v>3157</v>
      </c>
      <c r="O158" t="s">
        <v>3258</v>
      </c>
      <c r="P158">
        <v>3803</v>
      </c>
      <c r="Q158">
        <v>2306</v>
      </c>
      <c r="R158" t="s">
        <v>3263</v>
      </c>
      <c r="S158" t="s">
        <v>3262</v>
      </c>
    </row>
    <row r="159" spans="1:19" x14ac:dyDescent="0.2">
      <c r="A159" t="s">
        <v>3261</v>
      </c>
      <c r="B159" t="s">
        <v>3260</v>
      </c>
      <c r="C159">
        <v>15</v>
      </c>
      <c r="D159" t="s">
        <v>111</v>
      </c>
      <c r="E159">
        <v>0</v>
      </c>
      <c r="F159" t="s">
        <v>3259</v>
      </c>
      <c r="G159" t="s">
        <v>118</v>
      </c>
      <c r="H159" t="s">
        <v>117</v>
      </c>
      <c r="J159">
        <v>0.78648673019251603</v>
      </c>
      <c r="L159">
        <v>11</v>
      </c>
      <c r="M159">
        <v>465</v>
      </c>
      <c r="N159" t="s">
        <v>3157</v>
      </c>
      <c r="O159" t="s">
        <v>3258</v>
      </c>
      <c r="P159">
        <v>3804</v>
      </c>
      <c r="Q159">
        <v>27022</v>
      </c>
      <c r="R159" t="s">
        <v>3257</v>
      </c>
      <c r="S159" t="s">
        <v>3256</v>
      </c>
    </row>
    <row r="160" spans="1:19" x14ac:dyDescent="0.2">
      <c r="A160" t="s">
        <v>3255</v>
      </c>
      <c r="B160" t="s">
        <v>3254</v>
      </c>
      <c r="C160">
        <v>11</v>
      </c>
      <c r="D160" t="s">
        <v>111</v>
      </c>
      <c r="E160">
        <v>0</v>
      </c>
      <c r="F160" t="s">
        <v>3253</v>
      </c>
      <c r="G160" t="s">
        <v>229</v>
      </c>
      <c r="H160" t="s">
        <v>228</v>
      </c>
      <c r="M160">
        <v>8</v>
      </c>
      <c r="N160" t="s">
        <v>3157</v>
      </c>
      <c r="O160" t="s">
        <v>3247</v>
      </c>
      <c r="P160">
        <v>3809</v>
      </c>
      <c r="Q160">
        <v>2294</v>
      </c>
      <c r="R160" t="s">
        <v>3252</v>
      </c>
      <c r="S160" t="s">
        <v>3251</v>
      </c>
    </row>
    <row r="161" spans="1:19" x14ac:dyDescent="0.2">
      <c r="A161" t="s">
        <v>3250</v>
      </c>
      <c r="B161" t="s">
        <v>3249</v>
      </c>
      <c r="C161">
        <v>11</v>
      </c>
      <c r="D161" t="s">
        <v>111</v>
      </c>
      <c r="E161">
        <v>0</v>
      </c>
      <c r="F161" t="s">
        <v>3248</v>
      </c>
      <c r="G161" t="s">
        <v>229</v>
      </c>
      <c r="H161" t="s">
        <v>228</v>
      </c>
      <c r="M161">
        <v>26</v>
      </c>
      <c r="N161" t="s">
        <v>3157</v>
      </c>
      <c r="O161" t="s">
        <v>3247</v>
      </c>
      <c r="P161">
        <v>3810</v>
      </c>
      <c r="Q161">
        <v>2295</v>
      </c>
      <c r="R161" t="s">
        <v>3246</v>
      </c>
      <c r="S161" t="s">
        <v>3245</v>
      </c>
    </row>
    <row r="162" spans="1:19" x14ac:dyDescent="0.2">
      <c r="A162" t="s">
        <v>3244</v>
      </c>
      <c r="B162" t="s">
        <v>3243</v>
      </c>
      <c r="C162">
        <v>17</v>
      </c>
      <c r="D162" t="s">
        <v>111</v>
      </c>
      <c r="E162">
        <v>0</v>
      </c>
      <c r="F162" t="s">
        <v>3242</v>
      </c>
      <c r="G162" t="s">
        <v>109</v>
      </c>
      <c r="H162" t="s">
        <v>108</v>
      </c>
      <c r="M162">
        <v>306</v>
      </c>
      <c r="N162" t="s">
        <v>3157</v>
      </c>
      <c r="O162" t="s">
        <v>3241</v>
      </c>
      <c r="P162">
        <v>3811</v>
      </c>
      <c r="Q162">
        <v>2290</v>
      </c>
      <c r="R162" t="s">
        <v>3240</v>
      </c>
      <c r="S162" t="s">
        <v>3239</v>
      </c>
    </row>
    <row r="163" spans="1:19" x14ac:dyDescent="0.2">
      <c r="A163" t="s">
        <v>3238</v>
      </c>
      <c r="B163" t="s">
        <v>3237</v>
      </c>
      <c r="C163">
        <v>9</v>
      </c>
      <c r="D163" t="s">
        <v>363</v>
      </c>
      <c r="E163">
        <v>0</v>
      </c>
      <c r="F163" t="s">
        <v>3236</v>
      </c>
      <c r="G163" t="s">
        <v>118</v>
      </c>
      <c r="H163" t="s">
        <v>117</v>
      </c>
      <c r="I163">
        <v>0.97342800159087295</v>
      </c>
      <c r="K163">
        <v>7</v>
      </c>
      <c r="M163">
        <v>487</v>
      </c>
      <c r="N163" t="s">
        <v>3157</v>
      </c>
      <c r="O163" t="s">
        <v>3235</v>
      </c>
      <c r="P163">
        <v>3814</v>
      </c>
      <c r="Q163">
        <v>8928</v>
      </c>
      <c r="R163" t="s">
        <v>3234</v>
      </c>
      <c r="S163" t="s">
        <v>3233</v>
      </c>
    </row>
    <row r="164" spans="1:19" x14ac:dyDescent="0.2">
      <c r="A164" t="s">
        <v>3232</v>
      </c>
      <c r="B164" t="s">
        <v>3231</v>
      </c>
      <c r="C164">
        <v>12</v>
      </c>
      <c r="D164" t="s">
        <v>388</v>
      </c>
      <c r="E164">
        <v>0</v>
      </c>
      <c r="F164" t="s">
        <v>3230</v>
      </c>
      <c r="G164" t="s">
        <v>229</v>
      </c>
      <c r="H164" t="s">
        <v>228</v>
      </c>
      <c r="M164">
        <v>210</v>
      </c>
      <c r="N164" t="s">
        <v>3157</v>
      </c>
      <c r="O164" t="s">
        <v>3229</v>
      </c>
      <c r="P164">
        <v>3815</v>
      </c>
      <c r="Q164">
        <v>2299</v>
      </c>
      <c r="R164" t="s">
        <v>3228</v>
      </c>
      <c r="S164" t="s">
        <v>3227</v>
      </c>
    </row>
    <row r="165" spans="1:19" x14ac:dyDescent="0.2">
      <c r="A165" t="s">
        <v>3226</v>
      </c>
      <c r="B165" t="s">
        <v>3225</v>
      </c>
      <c r="C165">
        <v>10</v>
      </c>
      <c r="D165" t="s">
        <v>120</v>
      </c>
      <c r="E165">
        <v>0</v>
      </c>
      <c r="F165" t="s">
        <v>3224</v>
      </c>
      <c r="G165" t="s">
        <v>229</v>
      </c>
      <c r="H165" t="s">
        <v>228</v>
      </c>
      <c r="M165">
        <v>41</v>
      </c>
      <c r="N165" t="s">
        <v>3157</v>
      </c>
      <c r="O165" t="s">
        <v>3217</v>
      </c>
      <c r="P165">
        <v>24818</v>
      </c>
      <c r="Q165">
        <v>55810</v>
      </c>
      <c r="R165" t="s">
        <v>3223</v>
      </c>
      <c r="S165" t="s">
        <v>3222</v>
      </c>
    </row>
    <row r="166" spans="1:19" x14ac:dyDescent="0.2">
      <c r="A166" t="s">
        <v>3221</v>
      </c>
      <c r="B166" t="s">
        <v>61</v>
      </c>
      <c r="C166">
        <v>13</v>
      </c>
      <c r="D166" t="s">
        <v>363</v>
      </c>
      <c r="E166">
        <v>0</v>
      </c>
      <c r="F166" t="s">
        <v>3220</v>
      </c>
      <c r="G166" t="s">
        <v>229</v>
      </c>
      <c r="H166" t="s">
        <v>228</v>
      </c>
      <c r="M166">
        <v>550</v>
      </c>
      <c r="N166" t="s">
        <v>3157</v>
      </c>
      <c r="O166" t="s">
        <v>3217</v>
      </c>
      <c r="P166">
        <v>29178</v>
      </c>
      <c r="Q166">
        <v>22887</v>
      </c>
      <c r="R166" t="s">
        <v>3216</v>
      </c>
      <c r="S166" t="s">
        <v>3215</v>
      </c>
    </row>
    <row r="167" spans="1:19" x14ac:dyDescent="0.2">
      <c r="A167" t="s">
        <v>3219</v>
      </c>
      <c r="B167" t="s">
        <v>61</v>
      </c>
      <c r="C167">
        <v>13</v>
      </c>
      <c r="D167" t="s">
        <v>388</v>
      </c>
      <c r="E167">
        <v>1</v>
      </c>
      <c r="F167" t="s">
        <v>3218</v>
      </c>
      <c r="G167" t="s">
        <v>229</v>
      </c>
      <c r="H167" t="s">
        <v>228</v>
      </c>
      <c r="M167">
        <v>499</v>
      </c>
      <c r="N167" t="s">
        <v>3157</v>
      </c>
      <c r="O167" t="s">
        <v>3217</v>
      </c>
      <c r="P167">
        <v>29178</v>
      </c>
      <c r="Q167">
        <v>22887</v>
      </c>
      <c r="R167" t="s">
        <v>3216</v>
      </c>
      <c r="S167" t="s">
        <v>3215</v>
      </c>
    </row>
    <row r="168" spans="1:19" x14ac:dyDescent="0.2">
      <c r="A168" t="s">
        <v>3214</v>
      </c>
      <c r="B168" t="s">
        <v>86</v>
      </c>
      <c r="C168">
        <v>10</v>
      </c>
      <c r="D168" t="s">
        <v>363</v>
      </c>
      <c r="E168">
        <v>0</v>
      </c>
      <c r="F168" t="s">
        <v>3213</v>
      </c>
      <c r="G168" t="s">
        <v>118</v>
      </c>
      <c r="H168" t="s">
        <v>117</v>
      </c>
      <c r="I168">
        <v>0.85696397942611002</v>
      </c>
      <c r="J168">
        <v>0.78108261784353405</v>
      </c>
      <c r="K168">
        <v>11</v>
      </c>
      <c r="L168">
        <v>4</v>
      </c>
      <c r="M168">
        <v>506</v>
      </c>
      <c r="N168" t="s">
        <v>3157</v>
      </c>
      <c r="O168" t="s">
        <v>3212</v>
      </c>
      <c r="P168">
        <v>23480</v>
      </c>
      <c r="Q168">
        <v>221937</v>
      </c>
      <c r="R168" t="s">
        <v>3211</v>
      </c>
      <c r="S168" t="s">
        <v>3210</v>
      </c>
    </row>
    <row r="169" spans="1:19" x14ac:dyDescent="0.2">
      <c r="A169" t="s">
        <v>3209</v>
      </c>
      <c r="B169" t="s">
        <v>3208</v>
      </c>
      <c r="C169">
        <v>19</v>
      </c>
      <c r="D169" t="s">
        <v>111</v>
      </c>
      <c r="E169">
        <v>0</v>
      </c>
      <c r="F169" t="s">
        <v>3207</v>
      </c>
      <c r="G169" t="s">
        <v>109</v>
      </c>
      <c r="H169" t="s">
        <v>108</v>
      </c>
      <c r="M169">
        <v>1207</v>
      </c>
      <c r="N169" t="s">
        <v>3157</v>
      </c>
      <c r="O169" t="s">
        <v>3206</v>
      </c>
      <c r="P169">
        <v>3817</v>
      </c>
      <c r="Q169">
        <v>2300</v>
      </c>
      <c r="R169" t="s">
        <v>3205</v>
      </c>
      <c r="S169" t="s">
        <v>3204</v>
      </c>
    </row>
    <row r="170" spans="1:19" x14ac:dyDescent="0.2">
      <c r="A170" t="s">
        <v>3203</v>
      </c>
      <c r="B170" t="s">
        <v>3202</v>
      </c>
      <c r="C170">
        <v>12</v>
      </c>
      <c r="D170" t="s">
        <v>363</v>
      </c>
      <c r="E170">
        <v>0</v>
      </c>
      <c r="F170" t="s">
        <v>3201</v>
      </c>
      <c r="G170" t="s">
        <v>118</v>
      </c>
      <c r="H170" t="s">
        <v>117</v>
      </c>
      <c r="I170">
        <v>0.88180922658568095</v>
      </c>
      <c r="K170">
        <v>66</v>
      </c>
      <c r="M170">
        <v>500</v>
      </c>
      <c r="N170" t="s">
        <v>3157</v>
      </c>
      <c r="O170" t="s">
        <v>3200</v>
      </c>
      <c r="P170">
        <v>3818</v>
      </c>
      <c r="Q170">
        <v>2305</v>
      </c>
      <c r="R170" t="s">
        <v>3199</v>
      </c>
      <c r="S170" t="s">
        <v>3198</v>
      </c>
    </row>
    <row r="171" spans="1:19" x14ac:dyDescent="0.2">
      <c r="A171" t="s">
        <v>3197</v>
      </c>
      <c r="B171" t="s">
        <v>3196</v>
      </c>
      <c r="C171">
        <v>12</v>
      </c>
      <c r="D171" t="s">
        <v>363</v>
      </c>
      <c r="E171">
        <v>0</v>
      </c>
      <c r="F171" t="s">
        <v>3195</v>
      </c>
      <c r="G171" t="s">
        <v>118</v>
      </c>
      <c r="H171" t="s">
        <v>117</v>
      </c>
      <c r="I171">
        <v>0.882840393056602</v>
      </c>
      <c r="J171">
        <v>0.90120242486936497</v>
      </c>
      <c r="K171">
        <v>9</v>
      </c>
      <c r="L171">
        <v>21</v>
      </c>
      <c r="M171">
        <v>500</v>
      </c>
      <c r="N171" t="s">
        <v>3157</v>
      </c>
      <c r="O171" t="s">
        <v>3179</v>
      </c>
      <c r="P171">
        <v>3819</v>
      </c>
      <c r="Q171">
        <v>2308</v>
      </c>
      <c r="R171" t="s">
        <v>3194</v>
      </c>
      <c r="S171" t="s">
        <v>3193</v>
      </c>
    </row>
    <row r="172" spans="1:19" x14ac:dyDescent="0.2">
      <c r="A172" t="s">
        <v>3192</v>
      </c>
      <c r="B172" t="s">
        <v>3191</v>
      </c>
      <c r="C172">
        <v>10</v>
      </c>
      <c r="D172" t="s">
        <v>388</v>
      </c>
      <c r="E172">
        <v>0</v>
      </c>
      <c r="F172" t="s">
        <v>3190</v>
      </c>
      <c r="G172" t="s">
        <v>118</v>
      </c>
      <c r="H172" t="s">
        <v>117</v>
      </c>
      <c r="I172">
        <v>0.66828659474980501</v>
      </c>
      <c r="J172">
        <v>0.94672793343074002</v>
      </c>
      <c r="K172">
        <v>2</v>
      </c>
      <c r="L172">
        <v>7</v>
      </c>
      <c r="M172">
        <v>500</v>
      </c>
      <c r="N172" t="s">
        <v>3157</v>
      </c>
      <c r="O172" t="s">
        <v>3179</v>
      </c>
      <c r="P172">
        <v>3821</v>
      </c>
      <c r="Q172">
        <v>2309</v>
      </c>
      <c r="R172" t="s">
        <v>3189</v>
      </c>
      <c r="S172" t="s">
        <v>3188</v>
      </c>
    </row>
    <row r="173" spans="1:19" x14ac:dyDescent="0.2">
      <c r="A173" t="s">
        <v>3187</v>
      </c>
      <c r="B173" t="s">
        <v>3186</v>
      </c>
      <c r="C173">
        <v>9</v>
      </c>
      <c r="D173" t="s">
        <v>120</v>
      </c>
      <c r="E173">
        <v>0</v>
      </c>
      <c r="F173" t="s">
        <v>3185</v>
      </c>
      <c r="G173" t="s">
        <v>229</v>
      </c>
      <c r="H173" t="s">
        <v>228</v>
      </c>
      <c r="M173">
        <v>28</v>
      </c>
      <c r="N173" t="s">
        <v>3157</v>
      </c>
      <c r="O173" t="s">
        <v>3179</v>
      </c>
      <c r="P173">
        <v>7139</v>
      </c>
      <c r="Q173">
        <v>4303</v>
      </c>
      <c r="R173" t="s">
        <v>3184</v>
      </c>
      <c r="S173" t="s">
        <v>3183</v>
      </c>
    </row>
    <row r="174" spans="1:19" x14ac:dyDescent="0.2">
      <c r="A174" t="s">
        <v>3182</v>
      </c>
      <c r="B174" t="s">
        <v>3181</v>
      </c>
      <c r="C174">
        <v>13</v>
      </c>
      <c r="D174" t="s">
        <v>111</v>
      </c>
      <c r="E174">
        <v>0</v>
      </c>
      <c r="F174" t="s">
        <v>3180</v>
      </c>
      <c r="G174" t="s">
        <v>109</v>
      </c>
      <c r="H174" t="s">
        <v>108</v>
      </c>
      <c r="M174">
        <v>3391</v>
      </c>
      <c r="N174" t="s">
        <v>3157</v>
      </c>
      <c r="O174" t="s">
        <v>3179</v>
      </c>
      <c r="P174">
        <v>24814</v>
      </c>
      <c r="R174" t="s">
        <v>3178</v>
      </c>
      <c r="S174" t="s">
        <v>3177</v>
      </c>
    </row>
    <row r="175" spans="1:19" x14ac:dyDescent="0.2">
      <c r="A175" t="s">
        <v>3176</v>
      </c>
      <c r="B175" t="s">
        <v>3175</v>
      </c>
      <c r="C175">
        <v>9</v>
      </c>
      <c r="D175" t="s">
        <v>363</v>
      </c>
      <c r="E175">
        <v>0</v>
      </c>
      <c r="F175" t="s">
        <v>3174</v>
      </c>
      <c r="G175" t="s">
        <v>118</v>
      </c>
      <c r="H175" t="s">
        <v>117</v>
      </c>
      <c r="I175">
        <v>0.88656844387392297</v>
      </c>
      <c r="K175">
        <v>21</v>
      </c>
      <c r="M175">
        <v>296</v>
      </c>
      <c r="N175" t="s">
        <v>3157</v>
      </c>
      <c r="O175" t="s">
        <v>3163</v>
      </c>
      <c r="P175">
        <v>3823</v>
      </c>
      <c r="Q175">
        <v>27086</v>
      </c>
      <c r="R175" t="s">
        <v>3173</v>
      </c>
      <c r="S175" t="s">
        <v>3172</v>
      </c>
    </row>
    <row r="176" spans="1:19" x14ac:dyDescent="0.2">
      <c r="A176" t="s">
        <v>3171</v>
      </c>
      <c r="B176" t="s">
        <v>3170</v>
      </c>
      <c r="C176">
        <v>9</v>
      </c>
      <c r="D176" t="s">
        <v>120</v>
      </c>
      <c r="E176">
        <v>0</v>
      </c>
      <c r="F176" t="s">
        <v>3169</v>
      </c>
      <c r="G176" t="s">
        <v>118</v>
      </c>
      <c r="H176" t="s">
        <v>117</v>
      </c>
      <c r="I176">
        <v>0.96223106930813695</v>
      </c>
      <c r="K176">
        <v>2</v>
      </c>
      <c r="M176">
        <v>500</v>
      </c>
      <c r="N176" t="s">
        <v>3157</v>
      </c>
      <c r="O176" t="s">
        <v>3163</v>
      </c>
      <c r="P176">
        <v>13875</v>
      </c>
      <c r="Q176">
        <v>93986</v>
      </c>
      <c r="R176" t="s">
        <v>3168</v>
      </c>
      <c r="S176" t="s">
        <v>3167</v>
      </c>
    </row>
    <row r="177" spans="1:19" x14ac:dyDescent="0.2">
      <c r="A177" t="s">
        <v>3166</v>
      </c>
      <c r="B177" t="s">
        <v>3165</v>
      </c>
      <c r="C177">
        <v>9</v>
      </c>
      <c r="D177" t="s">
        <v>111</v>
      </c>
      <c r="E177">
        <v>0</v>
      </c>
      <c r="F177" t="s">
        <v>3164</v>
      </c>
      <c r="G177" t="s">
        <v>229</v>
      </c>
      <c r="H177" t="s">
        <v>228</v>
      </c>
      <c r="M177">
        <v>9</v>
      </c>
      <c r="N177" t="s">
        <v>3157</v>
      </c>
      <c r="O177" t="s">
        <v>3163</v>
      </c>
      <c r="P177">
        <v>6106</v>
      </c>
      <c r="Q177">
        <v>50943</v>
      </c>
      <c r="R177" t="s">
        <v>3162</v>
      </c>
      <c r="S177" t="s">
        <v>3161</v>
      </c>
    </row>
    <row r="178" spans="1:19" x14ac:dyDescent="0.2">
      <c r="A178" t="s">
        <v>3160</v>
      </c>
      <c r="B178" t="s">
        <v>3159</v>
      </c>
      <c r="C178">
        <v>12</v>
      </c>
      <c r="D178" t="s">
        <v>120</v>
      </c>
      <c r="E178">
        <v>0</v>
      </c>
      <c r="F178" t="s">
        <v>3158</v>
      </c>
      <c r="G178" t="s">
        <v>229</v>
      </c>
      <c r="H178" t="s">
        <v>228</v>
      </c>
      <c r="M178">
        <v>13</v>
      </c>
      <c r="N178" t="s">
        <v>3157</v>
      </c>
      <c r="O178" t="s">
        <v>3156</v>
      </c>
      <c r="P178">
        <v>20951</v>
      </c>
      <c r="Q178">
        <v>94234</v>
      </c>
      <c r="R178" t="s">
        <v>3155</v>
      </c>
      <c r="S178" t="s">
        <v>3154</v>
      </c>
    </row>
    <row r="179" spans="1:19" x14ac:dyDescent="0.2">
      <c r="A179" t="s">
        <v>3153</v>
      </c>
      <c r="B179" t="s">
        <v>3152</v>
      </c>
      <c r="C179">
        <v>12</v>
      </c>
      <c r="D179" t="s">
        <v>111</v>
      </c>
      <c r="E179">
        <v>0</v>
      </c>
      <c r="F179" t="s">
        <v>3151</v>
      </c>
      <c r="G179" t="s">
        <v>229</v>
      </c>
      <c r="H179" t="s">
        <v>228</v>
      </c>
      <c r="M179">
        <v>102</v>
      </c>
      <c r="P179">
        <v>4004</v>
      </c>
      <c r="Q179">
        <v>8880</v>
      </c>
      <c r="R179" t="s">
        <v>3150</v>
      </c>
      <c r="S179" t="s">
        <v>3149</v>
      </c>
    </row>
    <row r="180" spans="1:19" x14ac:dyDescent="0.2">
      <c r="A180" t="s">
        <v>3148</v>
      </c>
      <c r="B180" t="s">
        <v>3147</v>
      </c>
      <c r="C180">
        <v>14</v>
      </c>
      <c r="D180" t="s">
        <v>363</v>
      </c>
      <c r="E180">
        <v>0</v>
      </c>
      <c r="F180" t="s">
        <v>3146</v>
      </c>
      <c r="G180" t="s">
        <v>118</v>
      </c>
      <c r="H180" t="s">
        <v>117</v>
      </c>
      <c r="I180">
        <v>0.98770882251704595</v>
      </c>
      <c r="J180">
        <v>0.94853521960633802</v>
      </c>
      <c r="K180">
        <v>92</v>
      </c>
      <c r="L180">
        <v>8</v>
      </c>
      <c r="M180">
        <v>500</v>
      </c>
      <c r="N180" t="s">
        <v>1078</v>
      </c>
      <c r="O180" t="s">
        <v>3145</v>
      </c>
      <c r="P180">
        <v>4071</v>
      </c>
      <c r="Q180">
        <v>2551</v>
      </c>
      <c r="R180" t="s">
        <v>3144</v>
      </c>
      <c r="S180" t="s">
        <v>3143</v>
      </c>
    </row>
    <row r="181" spans="1:19" x14ac:dyDescent="0.2">
      <c r="A181" t="s">
        <v>3142</v>
      </c>
      <c r="B181" t="s">
        <v>3139</v>
      </c>
      <c r="C181">
        <v>19</v>
      </c>
      <c r="D181" t="s">
        <v>363</v>
      </c>
      <c r="E181">
        <v>0</v>
      </c>
      <c r="F181" t="s">
        <v>3141</v>
      </c>
      <c r="G181" t="s">
        <v>118</v>
      </c>
      <c r="H181" t="s">
        <v>117</v>
      </c>
      <c r="I181">
        <v>0.98076759614391495</v>
      </c>
      <c r="J181">
        <v>0.94266291744491204</v>
      </c>
      <c r="K181">
        <v>48</v>
      </c>
      <c r="L181">
        <v>122</v>
      </c>
      <c r="M181">
        <v>500</v>
      </c>
      <c r="N181" t="s">
        <v>3110</v>
      </c>
      <c r="O181" t="s">
        <v>3109</v>
      </c>
      <c r="P181">
        <v>4170</v>
      </c>
      <c r="Q181">
        <v>2623</v>
      </c>
      <c r="R181" t="s">
        <v>3137</v>
      </c>
      <c r="S181" t="s">
        <v>3136</v>
      </c>
    </row>
    <row r="182" spans="1:19" x14ac:dyDescent="0.2">
      <c r="A182" t="s">
        <v>3140</v>
      </c>
      <c r="B182" t="s">
        <v>3139</v>
      </c>
      <c r="C182">
        <v>11</v>
      </c>
      <c r="D182" t="s">
        <v>363</v>
      </c>
      <c r="E182">
        <v>1</v>
      </c>
      <c r="F182" t="s">
        <v>3138</v>
      </c>
      <c r="G182" t="s">
        <v>118</v>
      </c>
      <c r="H182" t="s">
        <v>117</v>
      </c>
      <c r="I182">
        <v>0.98317121589476697</v>
      </c>
      <c r="J182">
        <v>0.94571976391033297</v>
      </c>
      <c r="K182">
        <v>48</v>
      </c>
      <c r="L182">
        <v>122</v>
      </c>
      <c r="M182">
        <v>500</v>
      </c>
      <c r="N182" t="s">
        <v>3110</v>
      </c>
      <c r="O182" t="s">
        <v>3109</v>
      </c>
      <c r="P182">
        <v>4170</v>
      </c>
      <c r="Q182">
        <v>2623</v>
      </c>
      <c r="R182" t="s">
        <v>3137</v>
      </c>
      <c r="S182" t="s">
        <v>3136</v>
      </c>
    </row>
    <row r="183" spans="1:19" x14ac:dyDescent="0.2">
      <c r="A183" t="s">
        <v>3135</v>
      </c>
      <c r="B183" t="s">
        <v>3132</v>
      </c>
      <c r="C183">
        <v>19</v>
      </c>
      <c r="D183" t="s">
        <v>363</v>
      </c>
      <c r="E183">
        <v>0</v>
      </c>
      <c r="F183" t="s">
        <v>3134</v>
      </c>
      <c r="G183" t="s">
        <v>118</v>
      </c>
      <c r="H183" t="s">
        <v>117</v>
      </c>
      <c r="I183">
        <v>0.95824614127895102</v>
      </c>
      <c r="J183">
        <v>0.97062059442474902</v>
      </c>
      <c r="K183">
        <v>84</v>
      </c>
      <c r="L183">
        <v>54</v>
      </c>
      <c r="M183">
        <v>500</v>
      </c>
      <c r="N183" t="s">
        <v>3110</v>
      </c>
      <c r="O183" t="s">
        <v>3109</v>
      </c>
      <c r="P183">
        <v>4171</v>
      </c>
      <c r="Q183">
        <v>2624</v>
      </c>
      <c r="R183" t="s">
        <v>3130</v>
      </c>
      <c r="S183" t="s">
        <v>3129</v>
      </c>
    </row>
    <row r="184" spans="1:19" x14ac:dyDescent="0.2">
      <c r="A184" t="s">
        <v>3133</v>
      </c>
      <c r="B184" t="s">
        <v>3132</v>
      </c>
      <c r="C184">
        <v>11</v>
      </c>
      <c r="D184" t="s">
        <v>363</v>
      </c>
      <c r="E184">
        <v>1</v>
      </c>
      <c r="F184" t="s">
        <v>3131</v>
      </c>
      <c r="G184" t="s">
        <v>118</v>
      </c>
      <c r="H184" t="s">
        <v>117</v>
      </c>
      <c r="I184">
        <v>0.94622908256680804</v>
      </c>
      <c r="J184">
        <v>0.96256411620837901</v>
      </c>
      <c r="K184">
        <v>84</v>
      </c>
      <c r="L184">
        <v>54</v>
      </c>
      <c r="M184">
        <v>500</v>
      </c>
      <c r="N184" t="s">
        <v>3110</v>
      </c>
      <c r="O184" t="s">
        <v>3109</v>
      </c>
      <c r="P184">
        <v>4171</v>
      </c>
      <c r="Q184">
        <v>2624</v>
      </c>
      <c r="R184" t="s">
        <v>3130</v>
      </c>
      <c r="S184" t="s">
        <v>3129</v>
      </c>
    </row>
    <row r="185" spans="1:19" x14ac:dyDescent="0.2">
      <c r="A185" t="s">
        <v>3128</v>
      </c>
      <c r="B185" t="s">
        <v>3127</v>
      </c>
      <c r="C185">
        <v>11</v>
      </c>
      <c r="D185" t="s">
        <v>363</v>
      </c>
      <c r="E185">
        <v>0</v>
      </c>
      <c r="F185" t="s">
        <v>3126</v>
      </c>
      <c r="G185" t="s">
        <v>118</v>
      </c>
      <c r="H185" t="s">
        <v>117</v>
      </c>
      <c r="I185">
        <v>0.90118143707368803</v>
      </c>
      <c r="J185">
        <v>0.89320207564015297</v>
      </c>
      <c r="K185">
        <v>98</v>
      </c>
      <c r="L185">
        <v>60</v>
      </c>
      <c r="M185">
        <v>500</v>
      </c>
      <c r="N185" t="s">
        <v>3110</v>
      </c>
      <c r="O185" t="s">
        <v>3109</v>
      </c>
      <c r="P185">
        <v>4172</v>
      </c>
      <c r="Q185">
        <v>2625</v>
      </c>
      <c r="R185" t="s">
        <v>3125</v>
      </c>
      <c r="S185" t="s">
        <v>3124</v>
      </c>
    </row>
    <row r="186" spans="1:19" x14ac:dyDescent="0.2">
      <c r="A186" t="s">
        <v>3123</v>
      </c>
      <c r="B186" t="s">
        <v>3122</v>
      </c>
      <c r="C186">
        <v>10</v>
      </c>
      <c r="D186" t="s">
        <v>363</v>
      </c>
      <c r="E186">
        <v>0</v>
      </c>
      <c r="F186" t="s">
        <v>3121</v>
      </c>
      <c r="G186" t="s">
        <v>118</v>
      </c>
      <c r="H186" t="s">
        <v>117</v>
      </c>
      <c r="I186">
        <v>0.95466211845555404</v>
      </c>
      <c r="J186">
        <v>0.93958533537021205</v>
      </c>
      <c r="K186">
        <v>15</v>
      </c>
      <c r="L186">
        <v>17</v>
      </c>
      <c r="M186">
        <v>500</v>
      </c>
      <c r="N186" t="s">
        <v>3110</v>
      </c>
      <c r="O186" t="s">
        <v>3109</v>
      </c>
      <c r="P186">
        <v>4173</v>
      </c>
      <c r="Q186">
        <v>2626</v>
      </c>
      <c r="R186" t="s">
        <v>3120</v>
      </c>
      <c r="S186" t="s">
        <v>3119</v>
      </c>
    </row>
    <row r="187" spans="1:19" x14ac:dyDescent="0.2">
      <c r="A187" t="s">
        <v>3118</v>
      </c>
      <c r="B187" t="s">
        <v>3117</v>
      </c>
      <c r="C187">
        <v>17</v>
      </c>
      <c r="D187" t="s">
        <v>111</v>
      </c>
      <c r="E187">
        <v>0</v>
      </c>
      <c r="F187" t="s">
        <v>3116</v>
      </c>
      <c r="G187" t="s">
        <v>229</v>
      </c>
      <c r="H187" t="s">
        <v>228</v>
      </c>
      <c r="M187">
        <v>13</v>
      </c>
      <c r="N187" t="s">
        <v>3110</v>
      </c>
      <c r="O187" t="s">
        <v>3109</v>
      </c>
      <c r="P187">
        <v>15802</v>
      </c>
      <c r="Q187">
        <v>140628</v>
      </c>
      <c r="R187" t="s">
        <v>3115</v>
      </c>
      <c r="S187" t="s">
        <v>3114</v>
      </c>
    </row>
    <row r="188" spans="1:19" x14ac:dyDescent="0.2">
      <c r="A188" t="s">
        <v>3113</v>
      </c>
      <c r="B188" t="s">
        <v>3112</v>
      </c>
      <c r="C188">
        <v>13</v>
      </c>
      <c r="D188" t="s">
        <v>363</v>
      </c>
      <c r="E188">
        <v>0</v>
      </c>
      <c r="F188" t="s">
        <v>3111</v>
      </c>
      <c r="G188" t="s">
        <v>118</v>
      </c>
      <c r="H188" t="s">
        <v>117</v>
      </c>
      <c r="I188">
        <v>0.96978748343658805</v>
      </c>
      <c r="J188">
        <v>0.93189310398494796</v>
      </c>
      <c r="K188">
        <v>29</v>
      </c>
      <c r="L188">
        <v>7</v>
      </c>
      <c r="M188">
        <v>500</v>
      </c>
      <c r="N188" t="s">
        <v>3110</v>
      </c>
      <c r="O188" t="s">
        <v>3109</v>
      </c>
      <c r="P188">
        <v>4174</v>
      </c>
      <c r="Q188">
        <v>2627</v>
      </c>
      <c r="R188" t="s">
        <v>3108</v>
      </c>
      <c r="S188" t="s">
        <v>3107</v>
      </c>
    </row>
    <row r="189" spans="1:19" x14ac:dyDescent="0.2">
      <c r="A189" t="s">
        <v>3106</v>
      </c>
      <c r="B189" t="s">
        <v>3105</v>
      </c>
      <c r="C189">
        <v>17</v>
      </c>
      <c r="D189" t="s">
        <v>111</v>
      </c>
      <c r="E189">
        <v>0</v>
      </c>
      <c r="F189" t="s">
        <v>3104</v>
      </c>
      <c r="G189" t="s">
        <v>109</v>
      </c>
      <c r="H189" t="s">
        <v>108</v>
      </c>
      <c r="M189">
        <v>38677</v>
      </c>
      <c r="N189" t="s">
        <v>1660</v>
      </c>
      <c r="O189" t="s">
        <v>3098</v>
      </c>
      <c r="P189">
        <v>4185</v>
      </c>
      <c r="Q189">
        <v>2636</v>
      </c>
      <c r="R189" t="s">
        <v>3103</v>
      </c>
      <c r="S189" t="s">
        <v>3102</v>
      </c>
    </row>
    <row r="190" spans="1:19" x14ac:dyDescent="0.2">
      <c r="A190" t="s">
        <v>3101</v>
      </c>
      <c r="B190" t="s">
        <v>3100</v>
      </c>
      <c r="C190">
        <v>17</v>
      </c>
      <c r="D190" t="s">
        <v>111</v>
      </c>
      <c r="E190">
        <v>0</v>
      </c>
      <c r="F190" t="s">
        <v>3099</v>
      </c>
      <c r="G190" t="s">
        <v>109</v>
      </c>
      <c r="H190" t="s">
        <v>108</v>
      </c>
      <c r="M190">
        <v>12613</v>
      </c>
      <c r="N190" t="s">
        <v>1660</v>
      </c>
      <c r="O190" t="s">
        <v>3098</v>
      </c>
      <c r="P190">
        <v>4186</v>
      </c>
      <c r="Q190">
        <v>2637</v>
      </c>
      <c r="R190" t="s">
        <v>3097</v>
      </c>
      <c r="S190" t="s">
        <v>3096</v>
      </c>
    </row>
    <row r="191" spans="1:19" x14ac:dyDescent="0.2">
      <c r="A191" t="s">
        <v>3095</v>
      </c>
      <c r="B191" t="s">
        <v>3094</v>
      </c>
      <c r="C191">
        <v>14</v>
      </c>
      <c r="D191" t="s">
        <v>111</v>
      </c>
      <c r="E191">
        <v>0</v>
      </c>
      <c r="F191" t="s">
        <v>3093</v>
      </c>
      <c r="G191" t="s">
        <v>229</v>
      </c>
      <c r="H191" t="s">
        <v>228</v>
      </c>
      <c r="M191">
        <v>12</v>
      </c>
      <c r="N191" t="s">
        <v>3086</v>
      </c>
      <c r="O191" t="s">
        <v>3092</v>
      </c>
      <c r="P191">
        <v>4197</v>
      </c>
      <c r="Q191">
        <v>8521</v>
      </c>
      <c r="R191" t="s">
        <v>3091</v>
      </c>
      <c r="S191" t="s">
        <v>3090</v>
      </c>
    </row>
    <row r="192" spans="1:19" x14ac:dyDescent="0.2">
      <c r="A192" t="s">
        <v>3089</v>
      </c>
      <c r="B192" t="s">
        <v>3088</v>
      </c>
      <c r="C192">
        <v>11</v>
      </c>
      <c r="D192" t="s">
        <v>111</v>
      </c>
      <c r="E192">
        <v>0</v>
      </c>
      <c r="F192" t="s">
        <v>3087</v>
      </c>
      <c r="G192" t="s">
        <v>109</v>
      </c>
      <c r="H192" t="s">
        <v>108</v>
      </c>
      <c r="M192">
        <v>352</v>
      </c>
      <c r="N192" t="s">
        <v>3086</v>
      </c>
      <c r="O192" t="s">
        <v>3085</v>
      </c>
      <c r="P192">
        <v>4198</v>
      </c>
      <c r="Q192">
        <v>9247</v>
      </c>
      <c r="R192" t="s">
        <v>3084</v>
      </c>
      <c r="S192" t="s">
        <v>3083</v>
      </c>
    </row>
    <row r="193" spans="1:19" x14ac:dyDescent="0.2">
      <c r="A193" t="s">
        <v>3082</v>
      </c>
      <c r="B193" t="s">
        <v>3079</v>
      </c>
      <c r="C193">
        <v>15</v>
      </c>
      <c r="D193" t="s">
        <v>363</v>
      </c>
      <c r="E193">
        <v>0</v>
      </c>
      <c r="F193" t="s">
        <v>3081</v>
      </c>
      <c r="G193" t="s">
        <v>118</v>
      </c>
      <c r="H193" t="s">
        <v>117</v>
      </c>
      <c r="I193">
        <v>0.977919964227706</v>
      </c>
      <c r="J193">
        <v>0.98903612414325603</v>
      </c>
      <c r="K193">
        <v>143</v>
      </c>
      <c r="L193">
        <v>119</v>
      </c>
      <c r="M193">
        <v>500</v>
      </c>
      <c r="N193" t="s">
        <v>1483</v>
      </c>
      <c r="O193" t="s">
        <v>1482</v>
      </c>
      <c r="P193">
        <v>7978</v>
      </c>
      <c r="Q193">
        <v>2908</v>
      </c>
      <c r="R193" t="s">
        <v>3077</v>
      </c>
      <c r="S193" t="s">
        <v>3076</v>
      </c>
    </row>
    <row r="194" spans="1:19" x14ac:dyDescent="0.2">
      <c r="A194" t="s">
        <v>3080</v>
      </c>
      <c r="B194" t="s">
        <v>3079</v>
      </c>
      <c r="C194">
        <v>12</v>
      </c>
      <c r="D194" t="s">
        <v>363</v>
      </c>
      <c r="E194">
        <v>1</v>
      </c>
      <c r="F194" t="s">
        <v>3078</v>
      </c>
      <c r="G194" t="s">
        <v>118</v>
      </c>
      <c r="H194" t="s">
        <v>117</v>
      </c>
      <c r="I194">
        <v>0.93046977403455</v>
      </c>
      <c r="J194">
        <v>0.92498494479364901</v>
      </c>
      <c r="K194">
        <v>143</v>
      </c>
      <c r="L194">
        <v>119</v>
      </c>
      <c r="M194">
        <v>500</v>
      </c>
      <c r="N194" t="s">
        <v>1483</v>
      </c>
      <c r="O194" t="s">
        <v>1482</v>
      </c>
      <c r="P194">
        <v>7978</v>
      </c>
      <c r="Q194">
        <v>2908</v>
      </c>
      <c r="R194" t="s">
        <v>3077</v>
      </c>
      <c r="S194" t="s">
        <v>3076</v>
      </c>
    </row>
    <row r="195" spans="1:19" x14ac:dyDescent="0.2">
      <c r="A195" t="s">
        <v>3075</v>
      </c>
      <c r="B195" t="s">
        <v>3074</v>
      </c>
      <c r="C195">
        <v>10</v>
      </c>
      <c r="D195" t="s">
        <v>363</v>
      </c>
      <c r="E195">
        <v>0</v>
      </c>
      <c r="F195" t="s">
        <v>3073</v>
      </c>
      <c r="G195" t="s">
        <v>118</v>
      </c>
      <c r="H195" t="s">
        <v>117</v>
      </c>
      <c r="I195">
        <v>0.89100254808535695</v>
      </c>
      <c r="J195">
        <v>0.88658592166499695</v>
      </c>
      <c r="K195">
        <v>3</v>
      </c>
      <c r="L195">
        <v>24</v>
      </c>
      <c r="M195">
        <v>503</v>
      </c>
      <c r="N195" t="s">
        <v>107</v>
      </c>
      <c r="O195" t="s">
        <v>3067</v>
      </c>
      <c r="P195">
        <v>4238</v>
      </c>
      <c r="Q195">
        <v>8328</v>
      </c>
      <c r="R195" t="s">
        <v>3072</v>
      </c>
      <c r="S195" t="s">
        <v>3071</v>
      </c>
    </row>
    <row r="196" spans="1:19" x14ac:dyDescent="0.2">
      <c r="A196" t="s">
        <v>3070</v>
      </c>
      <c r="B196" t="s">
        <v>3069</v>
      </c>
      <c r="C196">
        <v>10</v>
      </c>
      <c r="D196" t="s">
        <v>120</v>
      </c>
      <c r="E196">
        <v>0</v>
      </c>
      <c r="F196" t="s">
        <v>3068</v>
      </c>
      <c r="G196" t="s">
        <v>229</v>
      </c>
      <c r="H196" t="s">
        <v>228</v>
      </c>
      <c r="M196">
        <v>152</v>
      </c>
      <c r="N196" t="s">
        <v>107</v>
      </c>
      <c r="O196" t="s">
        <v>3067</v>
      </c>
      <c r="P196">
        <v>4237</v>
      </c>
      <c r="Q196">
        <v>2672</v>
      </c>
      <c r="R196" t="s">
        <v>3066</v>
      </c>
      <c r="S196" t="s">
        <v>3065</v>
      </c>
    </row>
    <row r="197" spans="1:19" x14ac:dyDescent="0.2">
      <c r="A197" t="s">
        <v>3064</v>
      </c>
      <c r="B197" t="s">
        <v>3063</v>
      </c>
      <c r="C197">
        <v>12</v>
      </c>
      <c r="D197" t="s">
        <v>111</v>
      </c>
      <c r="E197">
        <v>0</v>
      </c>
      <c r="F197" t="s">
        <v>3062</v>
      </c>
      <c r="G197" t="s">
        <v>118</v>
      </c>
      <c r="H197" t="s">
        <v>117</v>
      </c>
      <c r="I197">
        <v>0.56115731003929104</v>
      </c>
      <c r="J197">
        <v>0.97446460204789698</v>
      </c>
      <c r="K197">
        <v>2</v>
      </c>
      <c r="L197">
        <v>3</v>
      </c>
      <c r="M197">
        <v>500</v>
      </c>
      <c r="N197" t="s">
        <v>107</v>
      </c>
      <c r="O197" t="s">
        <v>514</v>
      </c>
      <c r="P197">
        <v>4317</v>
      </c>
      <c r="Q197">
        <v>2735</v>
      </c>
      <c r="R197" t="s">
        <v>3061</v>
      </c>
      <c r="S197" t="s">
        <v>3060</v>
      </c>
    </row>
    <row r="198" spans="1:19" x14ac:dyDescent="0.2">
      <c r="A198" t="s">
        <v>3059</v>
      </c>
      <c r="B198" t="s">
        <v>3058</v>
      </c>
      <c r="C198">
        <v>11</v>
      </c>
      <c r="D198" t="s">
        <v>111</v>
      </c>
      <c r="E198">
        <v>0</v>
      </c>
      <c r="F198" t="s">
        <v>3057</v>
      </c>
      <c r="G198" t="s">
        <v>229</v>
      </c>
      <c r="H198" t="s">
        <v>228</v>
      </c>
      <c r="M198">
        <v>970</v>
      </c>
      <c r="N198" t="s">
        <v>107</v>
      </c>
      <c r="O198" t="s">
        <v>514</v>
      </c>
      <c r="P198">
        <v>4318</v>
      </c>
      <c r="Q198">
        <v>2736</v>
      </c>
      <c r="R198" t="s">
        <v>3056</v>
      </c>
      <c r="S198" t="s">
        <v>3055</v>
      </c>
    </row>
    <row r="199" spans="1:19" x14ac:dyDescent="0.2">
      <c r="A199" t="s">
        <v>3054</v>
      </c>
      <c r="B199" t="s">
        <v>3053</v>
      </c>
      <c r="C199">
        <v>11</v>
      </c>
      <c r="D199" t="s">
        <v>388</v>
      </c>
      <c r="E199">
        <v>0</v>
      </c>
      <c r="F199" t="s">
        <v>3052</v>
      </c>
      <c r="G199" t="s">
        <v>229</v>
      </c>
      <c r="H199" t="s">
        <v>228</v>
      </c>
      <c r="M199">
        <v>15</v>
      </c>
      <c r="N199" t="s">
        <v>107</v>
      </c>
      <c r="O199" t="s">
        <v>514</v>
      </c>
      <c r="P199">
        <v>4319</v>
      </c>
      <c r="Q199">
        <v>2737</v>
      </c>
      <c r="R199" t="s">
        <v>3051</v>
      </c>
      <c r="S199" t="s">
        <v>3050</v>
      </c>
    </row>
    <row r="200" spans="1:19" x14ac:dyDescent="0.2">
      <c r="A200" t="s">
        <v>3049</v>
      </c>
      <c r="B200" t="s">
        <v>3048</v>
      </c>
      <c r="C200">
        <v>13</v>
      </c>
      <c r="D200" t="s">
        <v>111</v>
      </c>
      <c r="E200">
        <v>0</v>
      </c>
      <c r="F200" t="s">
        <v>3047</v>
      </c>
      <c r="G200" t="s">
        <v>109</v>
      </c>
      <c r="H200" t="s">
        <v>108</v>
      </c>
      <c r="M200">
        <v>492</v>
      </c>
      <c r="N200" t="s">
        <v>107</v>
      </c>
      <c r="O200" t="s">
        <v>514</v>
      </c>
      <c r="P200">
        <v>29525</v>
      </c>
      <c r="Q200">
        <v>148979</v>
      </c>
      <c r="R200" t="s">
        <v>3046</v>
      </c>
      <c r="S200" t="s">
        <v>3045</v>
      </c>
    </row>
    <row r="201" spans="1:19" x14ac:dyDescent="0.2">
      <c r="A201" t="s">
        <v>3044</v>
      </c>
      <c r="B201" t="s">
        <v>3043</v>
      </c>
      <c r="C201">
        <v>14</v>
      </c>
      <c r="D201" t="s">
        <v>111</v>
      </c>
      <c r="E201">
        <v>0</v>
      </c>
      <c r="F201" t="s">
        <v>3042</v>
      </c>
      <c r="G201" t="s">
        <v>109</v>
      </c>
      <c r="H201" t="s">
        <v>108</v>
      </c>
      <c r="M201">
        <v>1681</v>
      </c>
      <c r="N201" t="s">
        <v>107</v>
      </c>
      <c r="O201" t="s">
        <v>514</v>
      </c>
      <c r="P201">
        <v>29450</v>
      </c>
      <c r="Q201">
        <v>84662</v>
      </c>
      <c r="R201" t="s">
        <v>3041</v>
      </c>
      <c r="S201" t="s">
        <v>3040</v>
      </c>
    </row>
    <row r="202" spans="1:19" x14ac:dyDescent="0.2">
      <c r="A202" t="s">
        <v>3039</v>
      </c>
      <c r="B202" t="s">
        <v>3038</v>
      </c>
      <c r="C202">
        <v>10</v>
      </c>
      <c r="D202" t="s">
        <v>111</v>
      </c>
      <c r="E202">
        <v>0</v>
      </c>
      <c r="F202" t="s">
        <v>3037</v>
      </c>
      <c r="G202" t="s">
        <v>229</v>
      </c>
      <c r="H202" t="s">
        <v>228</v>
      </c>
      <c r="M202">
        <v>38</v>
      </c>
      <c r="N202" t="s">
        <v>107</v>
      </c>
      <c r="O202" t="s">
        <v>514</v>
      </c>
      <c r="P202">
        <v>28510</v>
      </c>
      <c r="Q202">
        <v>169792</v>
      </c>
      <c r="R202" t="s">
        <v>3036</v>
      </c>
      <c r="S202" t="s">
        <v>3035</v>
      </c>
    </row>
    <row r="203" spans="1:19" x14ac:dyDescent="0.2">
      <c r="A203" t="s">
        <v>3034</v>
      </c>
      <c r="B203" t="s">
        <v>3033</v>
      </c>
      <c r="C203">
        <v>11</v>
      </c>
      <c r="D203" t="s">
        <v>111</v>
      </c>
      <c r="E203">
        <v>0</v>
      </c>
      <c r="F203" t="s">
        <v>3032</v>
      </c>
      <c r="G203" t="s">
        <v>109</v>
      </c>
      <c r="H203" t="s">
        <v>108</v>
      </c>
      <c r="M203">
        <v>4035</v>
      </c>
      <c r="N203" t="s">
        <v>3031</v>
      </c>
      <c r="O203" t="s">
        <v>3030</v>
      </c>
      <c r="P203">
        <v>4371</v>
      </c>
      <c r="Q203">
        <v>26205</v>
      </c>
      <c r="R203" t="s">
        <v>3029</v>
      </c>
      <c r="S203" t="s">
        <v>3028</v>
      </c>
    </row>
    <row r="204" spans="1:19" x14ac:dyDescent="0.2">
      <c r="A204" t="s">
        <v>3027</v>
      </c>
      <c r="B204" t="s">
        <v>3026</v>
      </c>
      <c r="C204">
        <v>12</v>
      </c>
      <c r="D204" t="s">
        <v>111</v>
      </c>
      <c r="E204">
        <v>0</v>
      </c>
      <c r="F204" t="s">
        <v>3025</v>
      </c>
      <c r="G204" t="s">
        <v>118</v>
      </c>
      <c r="H204" t="s">
        <v>117</v>
      </c>
      <c r="I204">
        <v>0.73065524854814501</v>
      </c>
      <c r="K204">
        <v>3</v>
      </c>
      <c r="M204">
        <v>500</v>
      </c>
      <c r="N204" t="s">
        <v>3019</v>
      </c>
      <c r="O204" t="s">
        <v>3018</v>
      </c>
      <c r="P204">
        <v>17923</v>
      </c>
      <c r="Q204">
        <v>29841</v>
      </c>
      <c r="R204" t="s">
        <v>3024</v>
      </c>
      <c r="S204" t="s">
        <v>3023</v>
      </c>
    </row>
    <row r="205" spans="1:19" x14ac:dyDescent="0.2">
      <c r="A205" t="s">
        <v>3022</v>
      </c>
      <c r="B205" t="s">
        <v>3021</v>
      </c>
      <c r="C205">
        <v>12</v>
      </c>
      <c r="D205" t="s">
        <v>363</v>
      </c>
      <c r="E205">
        <v>0</v>
      </c>
      <c r="F205" t="s">
        <v>3020</v>
      </c>
      <c r="G205" t="s">
        <v>118</v>
      </c>
      <c r="H205" t="s">
        <v>117</v>
      </c>
      <c r="I205">
        <v>0.95978286030984805</v>
      </c>
      <c r="J205">
        <v>0.920790488398611</v>
      </c>
      <c r="K205">
        <v>22</v>
      </c>
      <c r="L205">
        <v>4</v>
      </c>
      <c r="M205">
        <v>497</v>
      </c>
      <c r="N205" t="s">
        <v>3019</v>
      </c>
      <c r="O205" t="s">
        <v>3018</v>
      </c>
      <c r="P205">
        <v>2799</v>
      </c>
      <c r="Q205">
        <v>79977</v>
      </c>
      <c r="R205" t="s">
        <v>3017</v>
      </c>
      <c r="S205" t="s">
        <v>3016</v>
      </c>
    </row>
    <row r="206" spans="1:19" x14ac:dyDescent="0.2">
      <c r="A206" t="s">
        <v>3015</v>
      </c>
      <c r="B206" t="s">
        <v>3014</v>
      </c>
      <c r="C206">
        <v>11</v>
      </c>
      <c r="D206" t="s">
        <v>111</v>
      </c>
      <c r="E206">
        <v>0</v>
      </c>
      <c r="F206" t="s">
        <v>3013</v>
      </c>
      <c r="G206" t="s">
        <v>109</v>
      </c>
      <c r="H206" t="s">
        <v>108</v>
      </c>
      <c r="M206">
        <v>610</v>
      </c>
      <c r="N206" t="s">
        <v>671</v>
      </c>
      <c r="O206" t="s">
        <v>3007</v>
      </c>
      <c r="P206">
        <v>4613</v>
      </c>
      <c r="Q206">
        <v>2928</v>
      </c>
      <c r="R206" t="s">
        <v>3012</v>
      </c>
      <c r="S206" t="s">
        <v>3011</v>
      </c>
    </row>
    <row r="207" spans="1:19" x14ac:dyDescent="0.2">
      <c r="A207" t="s">
        <v>3010</v>
      </c>
      <c r="B207" t="s">
        <v>3009</v>
      </c>
      <c r="C207">
        <v>11</v>
      </c>
      <c r="D207" t="s">
        <v>111</v>
      </c>
      <c r="E207">
        <v>0</v>
      </c>
      <c r="F207" t="s">
        <v>3008</v>
      </c>
      <c r="G207" t="s">
        <v>109</v>
      </c>
      <c r="H207" t="s">
        <v>108</v>
      </c>
      <c r="M207">
        <v>1242</v>
      </c>
      <c r="N207" t="s">
        <v>671</v>
      </c>
      <c r="O207" t="s">
        <v>3007</v>
      </c>
      <c r="P207">
        <v>4612</v>
      </c>
      <c r="Q207">
        <v>145258</v>
      </c>
      <c r="R207" t="s">
        <v>3006</v>
      </c>
      <c r="S207" t="s">
        <v>3005</v>
      </c>
    </row>
    <row r="208" spans="1:19" x14ac:dyDescent="0.2">
      <c r="A208" t="s">
        <v>3004</v>
      </c>
      <c r="B208" t="s">
        <v>3003</v>
      </c>
      <c r="C208">
        <v>15</v>
      </c>
      <c r="D208" t="s">
        <v>111</v>
      </c>
      <c r="E208">
        <v>0</v>
      </c>
      <c r="F208" t="s">
        <v>3002</v>
      </c>
      <c r="G208" t="s">
        <v>109</v>
      </c>
      <c r="H208" t="s">
        <v>108</v>
      </c>
      <c r="M208">
        <v>277</v>
      </c>
      <c r="N208" t="s">
        <v>1660</v>
      </c>
      <c r="O208" t="s">
        <v>2996</v>
      </c>
      <c r="P208">
        <v>20374</v>
      </c>
      <c r="Q208">
        <v>219409</v>
      </c>
      <c r="R208" t="s">
        <v>3001</v>
      </c>
      <c r="S208" t="s">
        <v>3000</v>
      </c>
    </row>
    <row r="209" spans="1:19" x14ac:dyDescent="0.2">
      <c r="A209" t="s">
        <v>2999</v>
      </c>
      <c r="B209" t="s">
        <v>2998</v>
      </c>
      <c r="C209">
        <v>16</v>
      </c>
      <c r="D209" t="s">
        <v>111</v>
      </c>
      <c r="E209">
        <v>0</v>
      </c>
      <c r="F209" t="s">
        <v>2997</v>
      </c>
      <c r="G209" t="s">
        <v>109</v>
      </c>
      <c r="H209" t="s">
        <v>108</v>
      </c>
      <c r="M209">
        <v>6133</v>
      </c>
      <c r="N209" t="s">
        <v>1660</v>
      </c>
      <c r="O209" t="s">
        <v>2996</v>
      </c>
      <c r="P209">
        <v>24959</v>
      </c>
      <c r="Q209">
        <v>170825</v>
      </c>
      <c r="R209" t="s">
        <v>2995</v>
      </c>
      <c r="S209" t="s">
        <v>2994</v>
      </c>
    </row>
    <row r="210" spans="1:19" x14ac:dyDescent="0.2">
      <c r="A210" t="s">
        <v>2993</v>
      </c>
      <c r="B210" t="s">
        <v>2990</v>
      </c>
      <c r="C210">
        <v>17</v>
      </c>
      <c r="D210" t="s">
        <v>111</v>
      </c>
      <c r="E210">
        <v>0</v>
      </c>
      <c r="F210" t="s">
        <v>2992</v>
      </c>
      <c r="G210" t="s">
        <v>118</v>
      </c>
      <c r="H210" t="s">
        <v>117</v>
      </c>
      <c r="J210">
        <v>0.99516067745966397</v>
      </c>
      <c r="L210">
        <v>3</v>
      </c>
      <c r="M210">
        <v>500</v>
      </c>
      <c r="N210" t="s">
        <v>753</v>
      </c>
      <c r="O210" t="s">
        <v>752</v>
      </c>
      <c r="P210">
        <v>4807</v>
      </c>
      <c r="Q210">
        <v>9421</v>
      </c>
      <c r="R210" t="s">
        <v>2988</v>
      </c>
      <c r="S210" t="s">
        <v>2987</v>
      </c>
    </row>
    <row r="211" spans="1:19" x14ac:dyDescent="0.2">
      <c r="A211" t="s">
        <v>2991</v>
      </c>
      <c r="B211" t="s">
        <v>2990</v>
      </c>
      <c r="C211">
        <v>7</v>
      </c>
      <c r="D211" t="s">
        <v>111</v>
      </c>
      <c r="E211">
        <v>1</v>
      </c>
      <c r="F211" t="s">
        <v>2989</v>
      </c>
      <c r="G211" t="s">
        <v>118</v>
      </c>
      <c r="H211" t="s">
        <v>117</v>
      </c>
      <c r="J211">
        <v>0.95140806387490895</v>
      </c>
      <c r="L211">
        <v>3</v>
      </c>
      <c r="M211">
        <v>500</v>
      </c>
      <c r="N211" t="s">
        <v>753</v>
      </c>
      <c r="O211" t="s">
        <v>752</v>
      </c>
      <c r="P211">
        <v>4807</v>
      </c>
      <c r="Q211">
        <v>9421</v>
      </c>
      <c r="R211" t="s">
        <v>2988</v>
      </c>
      <c r="S211" t="s">
        <v>2987</v>
      </c>
    </row>
    <row r="212" spans="1:19" x14ac:dyDescent="0.2">
      <c r="A212" t="s">
        <v>2986</v>
      </c>
      <c r="B212" t="s">
        <v>2985</v>
      </c>
      <c r="C212">
        <v>9</v>
      </c>
      <c r="D212" t="s">
        <v>111</v>
      </c>
      <c r="E212">
        <v>0</v>
      </c>
      <c r="F212" t="s">
        <v>2984</v>
      </c>
      <c r="G212" t="s">
        <v>229</v>
      </c>
      <c r="H212" t="s">
        <v>228</v>
      </c>
      <c r="M212">
        <v>5</v>
      </c>
      <c r="N212" t="s">
        <v>1049</v>
      </c>
      <c r="O212" t="s">
        <v>2983</v>
      </c>
      <c r="P212">
        <v>23200</v>
      </c>
      <c r="Q212">
        <v>26959</v>
      </c>
      <c r="R212" t="s">
        <v>2982</v>
      </c>
      <c r="S212" t="s">
        <v>2981</v>
      </c>
    </row>
    <row r="213" spans="1:19" x14ac:dyDescent="0.2">
      <c r="A213" t="s">
        <v>2980</v>
      </c>
      <c r="B213" t="s">
        <v>2979</v>
      </c>
      <c r="C213">
        <v>20</v>
      </c>
      <c r="D213" t="s">
        <v>120</v>
      </c>
      <c r="E213">
        <v>0</v>
      </c>
      <c r="F213" t="s">
        <v>2978</v>
      </c>
      <c r="G213" t="s">
        <v>229</v>
      </c>
      <c r="H213" t="s">
        <v>228</v>
      </c>
      <c r="M213">
        <v>55</v>
      </c>
      <c r="N213" t="s">
        <v>753</v>
      </c>
      <c r="O213" t="s">
        <v>976</v>
      </c>
      <c r="P213">
        <v>7817</v>
      </c>
      <c r="Q213">
        <v>4807</v>
      </c>
      <c r="R213" t="s">
        <v>2977</v>
      </c>
      <c r="S213" t="s">
        <v>2976</v>
      </c>
    </row>
    <row r="214" spans="1:19" x14ac:dyDescent="0.2">
      <c r="A214" t="s">
        <v>2975</v>
      </c>
      <c r="B214" t="s">
        <v>43</v>
      </c>
      <c r="C214">
        <v>13</v>
      </c>
      <c r="D214" t="s">
        <v>111</v>
      </c>
      <c r="E214">
        <v>0</v>
      </c>
      <c r="F214" t="s">
        <v>2974</v>
      </c>
      <c r="G214" t="s">
        <v>229</v>
      </c>
      <c r="H214" t="s">
        <v>228</v>
      </c>
      <c r="M214">
        <v>28</v>
      </c>
      <c r="N214" t="s">
        <v>2947</v>
      </c>
      <c r="O214" t="s">
        <v>2946</v>
      </c>
      <c r="P214">
        <v>5192</v>
      </c>
      <c r="Q214">
        <v>3280</v>
      </c>
      <c r="R214" t="s">
        <v>2973</v>
      </c>
      <c r="S214" t="s">
        <v>2972</v>
      </c>
    </row>
    <row r="215" spans="1:19" x14ac:dyDescent="0.2">
      <c r="A215" t="s">
        <v>2971</v>
      </c>
      <c r="B215" t="s">
        <v>2970</v>
      </c>
      <c r="C215">
        <v>12</v>
      </c>
      <c r="D215" t="s">
        <v>111</v>
      </c>
      <c r="E215">
        <v>0</v>
      </c>
      <c r="F215" t="s">
        <v>2969</v>
      </c>
      <c r="G215" t="s">
        <v>109</v>
      </c>
      <c r="H215" t="s">
        <v>108</v>
      </c>
      <c r="M215">
        <v>6731</v>
      </c>
      <c r="N215" t="s">
        <v>2947</v>
      </c>
      <c r="O215" t="s">
        <v>2946</v>
      </c>
      <c r="P215">
        <v>19764</v>
      </c>
      <c r="Q215">
        <v>388585</v>
      </c>
      <c r="R215" t="s">
        <v>2968</v>
      </c>
      <c r="S215" t="s">
        <v>2967</v>
      </c>
    </row>
    <row r="216" spans="1:19" x14ac:dyDescent="0.2">
      <c r="A216" t="s">
        <v>2966</v>
      </c>
      <c r="B216" t="s">
        <v>2965</v>
      </c>
      <c r="C216">
        <v>12</v>
      </c>
      <c r="D216" t="s">
        <v>111</v>
      </c>
      <c r="E216">
        <v>0</v>
      </c>
      <c r="F216" t="s">
        <v>2964</v>
      </c>
      <c r="G216" t="s">
        <v>109</v>
      </c>
      <c r="H216" t="s">
        <v>108</v>
      </c>
      <c r="M216">
        <v>379</v>
      </c>
      <c r="N216" t="s">
        <v>2947</v>
      </c>
      <c r="O216" t="s">
        <v>2946</v>
      </c>
      <c r="P216">
        <v>15977</v>
      </c>
      <c r="Q216">
        <v>84667</v>
      </c>
      <c r="R216" t="s">
        <v>2963</v>
      </c>
      <c r="S216" t="s">
        <v>2962</v>
      </c>
    </row>
    <row r="217" spans="1:19" x14ac:dyDescent="0.2">
      <c r="A217" t="s">
        <v>2961</v>
      </c>
      <c r="B217" t="s">
        <v>2960</v>
      </c>
      <c r="C217">
        <v>16</v>
      </c>
      <c r="D217" t="s">
        <v>111</v>
      </c>
      <c r="E217">
        <v>0</v>
      </c>
      <c r="F217" t="s">
        <v>2959</v>
      </c>
      <c r="G217" t="s">
        <v>229</v>
      </c>
      <c r="H217" t="s">
        <v>228</v>
      </c>
      <c r="M217">
        <v>8</v>
      </c>
      <c r="N217" t="s">
        <v>671</v>
      </c>
      <c r="O217" t="s">
        <v>2958</v>
      </c>
      <c r="P217">
        <v>4877</v>
      </c>
      <c r="Q217">
        <v>8820</v>
      </c>
      <c r="R217" t="s">
        <v>2957</v>
      </c>
      <c r="S217" t="s">
        <v>2956</v>
      </c>
    </row>
    <row r="218" spans="1:19" x14ac:dyDescent="0.2">
      <c r="A218" t="s">
        <v>2955</v>
      </c>
      <c r="B218" t="s">
        <v>2954</v>
      </c>
      <c r="C218">
        <v>12</v>
      </c>
      <c r="D218" t="s">
        <v>111</v>
      </c>
      <c r="E218">
        <v>0</v>
      </c>
      <c r="F218" t="s">
        <v>2953</v>
      </c>
      <c r="G218" t="s">
        <v>109</v>
      </c>
      <c r="H218" t="s">
        <v>108</v>
      </c>
      <c r="M218">
        <v>265</v>
      </c>
      <c r="N218" t="s">
        <v>2947</v>
      </c>
      <c r="O218" t="s">
        <v>2946</v>
      </c>
      <c r="P218">
        <v>4880</v>
      </c>
      <c r="Q218">
        <v>23462</v>
      </c>
      <c r="R218" t="s">
        <v>2952</v>
      </c>
      <c r="S218" t="s">
        <v>2951</v>
      </c>
    </row>
    <row r="219" spans="1:19" x14ac:dyDescent="0.2">
      <c r="A219" t="s">
        <v>2950</v>
      </c>
      <c r="B219" t="s">
        <v>2949</v>
      </c>
      <c r="C219">
        <v>17</v>
      </c>
      <c r="D219" t="s">
        <v>111</v>
      </c>
      <c r="E219">
        <v>0</v>
      </c>
      <c r="F219" t="s">
        <v>2948</v>
      </c>
      <c r="G219" t="s">
        <v>229</v>
      </c>
      <c r="H219" t="s">
        <v>228</v>
      </c>
      <c r="M219">
        <v>8</v>
      </c>
      <c r="N219" t="s">
        <v>2947</v>
      </c>
      <c r="O219" t="s">
        <v>2946</v>
      </c>
      <c r="P219">
        <v>4881</v>
      </c>
      <c r="Q219">
        <v>23493</v>
      </c>
      <c r="R219" t="s">
        <v>2945</v>
      </c>
      <c r="S219" t="s">
        <v>2944</v>
      </c>
    </row>
    <row r="220" spans="1:19" x14ac:dyDescent="0.2">
      <c r="A220" t="s">
        <v>2943</v>
      </c>
      <c r="B220" t="s">
        <v>2942</v>
      </c>
      <c r="C220">
        <v>9</v>
      </c>
      <c r="D220" t="s">
        <v>120</v>
      </c>
      <c r="E220">
        <v>0</v>
      </c>
      <c r="F220" t="s">
        <v>2941</v>
      </c>
      <c r="G220" t="s">
        <v>229</v>
      </c>
      <c r="H220" t="s">
        <v>228</v>
      </c>
      <c r="M220">
        <v>40</v>
      </c>
      <c r="N220" t="s">
        <v>137</v>
      </c>
      <c r="O220" t="s">
        <v>2935</v>
      </c>
      <c r="P220">
        <v>4909</v>
      </c>
      <c r="Q220">
        <v>3090</v>
      </c>
      <c r="R220" t="s">
        <v>2940</v>
      </c>
      <c r="S220" t="s">
        <v>2939</v>
      </c>
    </row>
    <row r="221" spans="1:19" x14ac:dyDescent="0.2">
      <c r="A221" t="s">
        <v>2938</v>
      </c>
      <c r="B221" t="s">
        <v>2937</v>
      </c>
      <c r="C221">
        <v>11</v>
      </c>
      <c r="D221" t="s">
        <v>111</v>
      </c>
      <c r="E221">
        <v>0</v>
      </c>
      <c r="F221" t="s">
        <v>2936</v>
      </c>
      <c r="G221" t="s">
        <v>109</v>
      </c>
      <c r="H221" t="s">
        <v>108</v>
      </c>
      <c r="M221">
        <v>134</v>
      </c>
      <c r="N221" t="s">
        <v>137</v>
      </c>
      <c r="O221" t="s">
        <v>2935</v>
      </c>
      <c r="P221">
        <v>18595</v>
      </c>
      <c r="Q221">
        <v>23119</v>
      </c>
      <c r="R221" t="s">
        <v>2934</v>
      </c>
      <c r="S221" t="s">
        <v>2933</v>
      </c>
    </row>
    <row r="222" spans="1:19" x14ac:dyDescent="0.2">
      <c r="A222" t="s">
        <v>2932</v>
      </c>
      <c r="B222" t="s">
        <v>2931</v>
      </c>
      <c r="C222">
        <v>8</v>
      </c>
      <c r="D222" t="s">
        <v>120</v>
      </c>
      <c r="E222">
        <v>0</v>
      </c>
      <c r="F222" t="s">
        <v>2930</v>
      </c>
      <c r="G222" t="s">
        <v>118</v>
      </c>
      <c r="H222" t="s">
        <v>117</v>
      </c>
      <c r="I222">
        <v>0.76204144985037103</v>
      </c>
      <c r="J222">
        <v>0.73751600565067599</v>
      </c>
      <c r="K222">
        <v>39</v>
      </c>
      <c r="L222">
        <v>8</v>
      </c>
      <c r="M222">
        <v>501</v>
      </c>
      <c r="N222" t="s">
        <v>2929</v>
      </c>
      <c r="O222" t="s">
        <v>2928</v>
      </c>
      <c r="P222">
        <v>4910</v>
      </c>
      <c r="Q222">
        <v>3091</v>
      </c>
      <c r="R222" t="s">
        <v>2927</v>
      </c>
      <c r="S222" t="s">
        <v>2926</v>
      </c>
    </row>
    <row r="223" spans="1:19" x14ac:dyDescent="0.2">
      <c r="A223" t="s">
        <v>2925</v>
      </c>
      <c r="B223" t="s">
        <v>2924</v>
      </c>
      <c r="C223">
        <v>16</v>
      </c>
      <c r="D223" t="s">
        <v>120</v>
      </c>
      <c r="E223">
        <v>0</v>
      </c>
      <c r="F223" t="s">
        <v>2923</v>
      </c>
      <c r="G223" t="s">
        <v>229</v>
      </c>
      <c r="H223" t="s">
        <v>228</v>
      </c>
      <c r="M223">
        <v>42</v>
      </c>
      <c r="N223" t="s">
        <v>137</v>
      </c>
      <c r="O223" t="s">
        <v>2922</v>
      </c>
      <c r="P223">
        <v>17850</v>
      </c>
      <c r="Q223">
        <v>25988</v>
      </c>
      <c r="R223" t="s">
        <v>2921</v>
      </c>
      <c r="S223" t="s">
        <v>2920</v>
      </c>
    </row>
    <row r="224" spans="1:19" x14ac:dyDescent="0.2">
      <c r="A224" t="s">
        <v>2919</v>
      </c>
      <c r="B224" t="s">
        <v>2918</v>
      </c>
      <c r="C224">
        <v>13</v>
      </c>
      <c r="D224" t="s">
        <v>120</v>
      </c>
      <c r="E224">
        <v>0</v>
      </c>
      <c r="F224" t="s">
        <v>2917</v>
      </c>
      <c r="G224" t="s">
        <v>229</v>
      </c>
      <c r="H224" t="s">
        <v>228</v>
      </c>
      <c r="M224">
        <v>35</v>
      </c>
      <c r="N224" t="s">
        <v>869</v>
      </c>
      <c r="O224" t="s">
        <v>868</v>
      </c>
      <c r="P224">
        <v>4977</v>
      </c>
      <c r="Q224">
        <v>3131</v>
      </c>
      <c r="R224" t="s">
        <v>2916</v>
      </c>
      <c r="S224" t="s">
        <v>2915</v>
      </c>
    </row>
    <row r="225" spans="1:19" x14ac:dyDescent="0.2">
      <c r="A225" t="s">
        <v>2914</v>
      </c>
      <c r="B225" t="s">
        <v>2913</v>
      </c>
      <c r="C225">
        <v>12</v>
      </c>
      <c r="D225" t="s">
        <v>111</v>
      </c>
      <c r="E225">
        <v>0</v>
      </c>
      <c r="F225" t="s">
        <v>2912</v>
      </c>
      <c r="G225" t="s">
        <v>229</v>
      </c>
      <c r="H225" t="s">
        <v>228</v>
      </c>
      <c r="M225">
        <v>10</v>
      </c>
      <c r="P225">
        <v>11099</v>
      </c>
      <c r="Q225">
        <v>6596</v>
      </c>
      <c r="R225" t="s">
        <v>2911</v>
      </c>
      <c r="S225" t="s">
        <v>2910</v>
      </c>
    </row>
    <row r="226" spans="1:19" x14ac:dyDescent="0.2">
      <c r="A226" t="s">
        <v>2909</v>
      </c>
      <c r="B226" t="s">
        <v>2908</v>
      </c>
      <c r="C226">
        <v>9</v>
      </c>
      <c r="D226" t="s">
        <v>111</v>
      </c>
      <c r="E226">
        <v>0</v>
      </c>
      <c r="F226" t="s">
        <v>2907</v>
      </c>
      <c r="G226" t="s">
        <v>118</v>
      </c>
      <c r="H226" t="s">
        <v>117</v>
      </c>
      <c r="I226">
        <v>0.75968493522592695</v>
      </c>
      <c r="K226">
        <v>7</v>
      </c>
      <c r="M226">
        <v>500</v>
      </c>
      <c r="N226" t="s">
        <v>1533</v>
      </c>
      <c r="O226" t="s">
        <v>2854</v>
      </c>
      <c r="P226">
        <v>26137</v>
      </c>
      <c r="Q226">
        <v>79618</v>
      </c>
      <c r="R226" t="s">
        <v>2906</v>
      </c>
      <c r="S226" t="s">
        <v>2905</v>
      </c>
    </row>
    <row r="227" spans="1:19" x14ac:dyDescent="0.2">
      <c r="A227" t="s">
        <v>2904</v>
      </c>
      <c r="B227" t="s">
        <v>2903</v>
      </c>
      <c r="C227">
        <v>17</v>
      </c>
      <c r="D227" t="s">
        <v>111</v>
      </c>
      <c r="E227">
        <v>0</v>
      </c>
      <c r="F227" t="s">
        <v>2902</v>
      </c>
      <c r="G227" t="s">
        <v>109</v>
      </c>
      <c r="H227" t="s">
        <v>108</v>
      </c>
      <c r="M227">
        <v>817</v>
      </c>
      <c r="N227" t="s">
        <v>691</v>
      </c>
      <c r="O227" t="s">
        <v>2896</v>
      </c>
      <c r="P227">
        <v>3342</v>
      </c>
      <c r="Q227">
        <v>2019</v>
      </c>
      <c r="R227" t="s">
        <v>2901</v>
      </c>
      <c r="S227" t="s">
        <v>2900</v>
      </c>
    </row>
    <row r="228" spans="1:19" x14ac:dyDescent="0.2">
      <c r="A228" t="s">
        <v>2899</v>
      </c>
      <c r="B228" t="s">
        <v>2898</v>
      </c>
      <c r="C228">
        <v>11</v>
      </c>
      <c r="D228" t="s">
        <v>111</v>
      </c>
      <c r="E228">
        <v>0</v>
      </c>
      <c r="F228" t="s">
        <v>2897</v>
      </c>
      <c r="G228" t="s">
        <v>109</v>
      </c>
      <c r="H228" t="s">
        <v>108</v>
      </c>
      <c r="M228">
        <v>9521</v>
      </c>
      <c r="N228" t="s">
        <v>691</v>
      </c>
      <c r="O228" t="s">
        <v>2896</v>
      </c>
      <c r="P228">
        <v>3343</v>
      </c>
      <c r="Q228">
        <v>2020</v>
      </c>
      <c r="R228" t="s">
        <v>2895</v>
      </c>
      <c r="S228" t="s">
        <v>2894</v>
      </c>
    </row>
    <row r="229" spans="1:19" x14ac:dyDescent="0.2">
      <c r="A229" t="s">
        <v>2893</v>
      </c>
      <c r="B229" t="s">
        <v>2892</v>
      </c>
      <c r="C229">
        <v>7</v>
      </c>
      <c r="D229" t="s">
        <v>111</v>
      </c>
      <c r="E229">
        <v>0</v>
      </c>
      <c r="F229" t="s">
        <v>2891</v>
      </c>
      <c r="G229" t="s">
        <v>229</v>
      </c>
      <c r="H229" t="s">
        <v>228</v>
      </c>
      <c r="M229">
        <v>97</v>
      </c>
      <c r="N229" t="s">
        <v>2884</v>
      </c>
      <c r="O229" t="s">
        <v>2890</v>
      </c>
      <c r="P229">
        <v>5010</v>
      </c>
      <c r="Q229">
        <v>3159</v>
      </c>
      <c r="R229" t="s">
        <v>2889</v>
      </c>
      <c r="S229" t="s">
        <v>2888</v>
      </c>
    </row>
    <row r="230" spans="1:19" x14ac:dyDescent="0.2">
      <c r="A230" t="s">
        <v>2887</v>
      </c>
      <c r="B230" t="s">
        <v>2886</v>
      </c>
      <c r="C230">
        <v>15</v>
      </c>
      <c r="D230" t="s">
        <v>111</v>
      </c>
      <c r="E230">
        <v>0</v>
      </c>
      <c r="F230" t="s">
        <v>2885</v>
      </c>
      <c r="G230" t="s">
        <v>229</v>
      </c>
      <c r="H230" t="s">
        <v>228</v>
      </c>
      <c r="M230">
        <v>75</v>
      </c>
      <c r="N230" t="s">
        <v>2884</v>
      </c>
      <c r="O230" t="s">
        <v>2883</v>
      </c>
      <c r="P230">
        <v>5009</v>
      </c>
      <c r="Q230">
        <v>8091</v>
      </c>
      <c r="R230" t="s">
        <v>2882</v>
      </c>
      <c r="S230" t="s">
        <v>2881</v>
      </c>
    </row>
    <row r="231" spans="1:19" x14ac:dyDescent="0.2">
      <c r="A231" t="s">
        <v>2880</v>
      </c>
      <c r="B231" t="s">
        <v>2879</v>
      </c>
      <c r="C231">
        <v>17</v>
      </c>
      <c r="D231" t="s">
        <v>111</v>
      </c>
      <c r="E231">
        <v>0</v>
      </c>
      <c r="F231" t="s">
        <v>2878</v>
      </c>
      <c r="G231" t="s">
        <v>109</v>
      </c>
      <c r="H231" t="s">
        <v>108</v>
      </c>
      <c r="M231">
        <v>34</v>
      </c>
      <c r="N231" t="s">
        <v>691</v>
      </c>
      <c r="O231" t="s">
        <v>2867</v>
      </c>
      <c r="P231">
        <v>5017</v>
      </c>
      <c r="Q231">
        <v>3166</v>
      </c>
      <c r="R231" t="s">
        <v>2877</v>
      </c>
      <c r="S231" t="s">
        <v>2876</v>
      </c>
    </row>
    <row r="232" spans="1:19" x14ac:dyDescent="0.2">
      <c r="A232" t="s">
        <v>2875</v>
      </c>
      <c r="B232" t="s">
        <v>2874</v>
      </c>
      <c r="C232">
        <v>11</v>
      </c>
      <c r="D232" t="s">
        <v>111</v>
      </c>
      <c r="E232">
        <v>0</v>
      </c>
      <c r="F232" t="s">
        <v>2873</v>
      </c>
      <c r="G232" t="s">
        <v>109</v>
      </c>
      <c r="H232" t="s">
        <v>108</v>
      </c>
      <c r="M232">
        <v>1221</v>
      </c>
      <c r="N232" t="s">
        <v>691</v>
      </c>
      <c r="O232" t="s">
        <v>2867</v>
      </c>
      <c r="P232">
        <v>5018</v>
      </c>
      <c r="Q232">
        <v>3167</v>
      </c>
      <c r="R232" t="s">
        <v>2872</v>
      </c>
      <c r="S232" t="s">
        <v>2871</v>
      </c>
    </row>
    <row r="233" spans="1:19" x14ac:dyDescent="0.2">
      <c r="A233" t="s">
        <v>2870</v>
      </c>
      <c r="B233" t="s">
        <v>2869</v>
      </c>
      <c r="C233">
        <v>11</v>
      </c>
      <c r="D233" t="s">
        <v>111</v>
      </c>
      <c r="E233">
        <v>0</v>
      </c>
      <c r="F233" t="s">
        <v>2868</v>
      </c>
      <c r="G233" t="s">
        <v>109</v>
      </c>
      <c r="H233" t="s">
        <v>108</v>
      </c>
      <c r="M233">
        <v>38692</v>
      </c>
      <c r="N233" t="s">
        <v>691</v>
      </c>
      <c r="O233" t="s">
        <v>2867</v>
      </c>
      <c r="P233">
        <v>5019</v>
      </c>
      <c r="Q233">
        <v>340784</v>
      </c>
      <c r="R233" t="s">
        <v>2866</v>
      </c>
      <c r="S233" t="s">
        <v>2865</v>
      </c>
    </row>
    <row r="234" spans="1:19" x14ac:dyDescent="0.2">
      <c r="A234" t="s">
        <v>2864</v>
      </c>
      <c r="B234" t="s">
        <v>2863</v>
      </c>
      <c r="C234">
        <v>15</v>
      </c>
      <c r="D234" t="s">
        <v>120</v>
      </c>
      <c r="E234">
        <v>0</v>
      </c>
      <c r="F234" t="s">
        <v>2862</v>
      </c>
      <c r="G234" t="s">
        <v>118</v>
      </c>
      <c r="H234" t="s">
        <v>117</v>
      </c>
      <c r="I234">
        <v>0.92673966683640696</v>
      </c>
      <c r="K234">
        <v>3</v>
      </c>
      <c r="M234">
        <v>500</v>
      </c>
      <c r="N234" t="s">
        <v>1533</v>
      </c>
      <c r="O234" t="s">
        <v>2854</v>
      </c>
      <c r="P234">
        <v>11621</v>
      </c>
      <c r="Q234">
        <v>6927</v>
      </c>
      <c r="R234" t="s">
        <v>2861</v>
      </c>
      <c r="S234" t="s">
        <v>2860</v>
      </c>
    </row>
    <row r="235" spans="1:19" x14ac:dyDescent="0.2">
      <c r="A235" t="s">
        <v>2859</v>
      </c>
      <c r="B235" t="s">
        <v>2856</v>
      </c>
      <c r="C235">
        <v>15</v>
      </c>
      <c r="D235" t="s">
        <v>363</v>
      </c>
      <c r="E235">
        <v>0</v>
      </c>
      <c r="F235" t="s">
        <v>2858</v>
      </c>
      <c r="G235" t="s">
        <v>118</v>
      </c>
      <c r="H235" t="s">
        <v>117</v>
      </c>
      <c r="I235">
        <v>0.94983448148587002</v>
      </c>
      <c r="J235">
        <v>0.99414965646339803</v>
      </c>
      <c r="K235">
        <v>5</v>
      </c>
      <c r="L235">
        <v>8</v>
      </c>
      <c r="M235">
        <v>500</v>
      </c>
      <c r="N235" t="s">
        <v>1533</v>
      </c>
      <c r="O235" t="s">
        <v>2854</v>
      </c>
      <c r="P235">
        <v>11630</v>
      </c>
      <c r="Q235">
        <v>6928</v>
      </c>
      <c r="R235" t="s">
        <v>2853</v>
      </c>
      <c r="S235" t="s">
        <v>2852</v>
      </c>
    </row>
    <row r="236" spans="1:19" x14ac:dyDescent="0.2">
      <c r="A236" t="s">
        <v>2857</v>
      </c>
      <c r="B236" t="s">
        <v>2856</v>
      </c>
      <c r="C236">
        <v>11</v>
      </c>
      <c r="D236" t="s">
        <v>363</v>
      </c>
      <c r="E236">
        <v>1</v>
      </c>
      <c r="F236" t="s">
        <v>2855</v>
      </c>
      <c r="G236" t="s">
        <v>118</v>
      </c>
      <c r="H236" t="s">
        <v>117</v>
      </c>
      <c r="I236">
        <v>0.91579057466527702</v>
      </c>
      <c r="J236">
        <v>0.99327784907070105</v>
      </c>
      <c r="K236">
        <v>5</v>
      </c>
      <c r="L236">
        <v>8</v>
      </c>
      <c r="M236">
        <v>500</v>
      </c>
      <c r="N236" t="s">
        <v>1533</v>
      </c>
      <c r="O236" t="s">
        <v>2854</v>
      </c>
      <c r="P236">
        <v>11630</v>
      </c>
      <c r="Q236">
        <v>6928</v>
      </c>
      <c r="R236" t="s">
        <v>2853</v>
      </c>
      <c r="S236" t="s">
        <v>2852</v>
      </c>
    </row>
    <row r="237" spans="1:19" x14ac:dyDescent="0.2">
      <c r="A237" t="s">
        <v>2851</v>
      </c>
      <c r="B237" t="s">
        <v>2850</v>
      </c>
      <c r="C237">
        <v>14</v>
      </c>
      <c r="D237" t="s">
        <v>363</v>
      </c>
      <c r="E237">
        <v>0</v>
      </c>
      <c r="F237" t="s">
        <v>2849</v>
      </c>
      <c r="G237" t="s">
        <v>118</v>
      </c>
      <c r="H237" t="s">
        <v>117</v>
      </c>
      <c r="I237">
        <v>0.98471668995639805</v>
      </c>
      <c r="J237">
        <v>0.98083724257864202</v>
      </c>
      <c r="K237">
        <v>49</v>
      </c>
      <c r="L237">
        <v>33</v>
      </c>
      <c r="M237">
        <v>500</v>
      </c>
      <c r="N237" t="s">
        <v>1304</v>
      </c>
      <c r="O237" t="s">
        <v>2843</v>
      </c>
      <c r="P237">
        <v>5024</v>
      </c>
      <c r="Q237">
        <v>3172</v>
      </c>
      <c r="R237" t="s">
        <v>2848</v>
      </c>
      <c r="S237" t="s">
        <v>2847</v>
      </c>
    </row>
    <row r="238" spans="1:19" x14ac:dyDescent="0.2">
      <c r="A238" t="s">
        <v>2846</v>
      </c>
      <c r="B238" t="s">
        <v>2845</v>
      </c>
      <c r="C238">
        <v>14</v>
      </c>
      <c r="D238" t="s">
        <v>388</v>
      </c>
      <c r="E238">
        <v>0</v>
      </c>
      <c r="F238" t="s">
        <v>2844</v>
      </c>
      <c r="G238" t="s">
        <v>118</v>
      </c>
      <c r="H238" t="s">
        <v>117</v>
      </c>
      <c r="I238">
        <v>0.982908501073674</v>
      </c>
      <c r="K238">
        <v>6</v>
      </c>
      <c r="M238">
        <v>500</v>
      </c>
      <c r="N238" t="s">
        <v>1304</v>
      </c>
      <c r="O238" t="s">
        <v>2843</v>
      </c>
      <c r="P238">
        <v>5026</v>
      </c>
      <c r="Q238">
        <v>3174</v>
      </c>
      <c r="R238" t="s">
        <v>2842</v>
      </c>
      <c r="S238" t="s">
        <v>2841</v>
      </c>
    </row>
    <row r="239" spans="1:19" x14ac:dyDescent="0.2">
      <c r="A239" t="s">
        <v>2840</v>
      </c>
      <c r="B239" t="s">
        <v>2839</v>
      </c>
      <c r="C239">
        <v>11</v>
      </c>
      <c r="D239" t="s">
        <v>388</v>
      </c>
      <c r="E239">
        <v>0</v>
      </c>
      <c r="F239" t="s">
        <v>2838</v>
      </c>
      <c r="G239" t="s">
        <v>118</v>
      </c>
      <c r="H239" t="s">
        <v>117</v>
      </c>
      <c r="J239">
        <v>0.976306190457919</v>
      </c>
      <c r="L239">
        <v>24</v>
      </c>
      <c r="M239">
        <v>512</v>
      </c>
      <c r="N239" t="s">
        <v>1804</v>
      </c>
      <c r="O239" t="s">
        <v>1803</v>
      </c>
      <c r="P239">
        <v>8138</v>
      </c>
      <c r="Q239">
        <v>3175</v>
      </c>
      <c r="R239" t="s">
        <v>2837</v>
      </c>
      <c r="S239" t="s">
        <v>2836</v>
      </c>
    </row>
    <row r="240" spans="1:19" x14ac:dyDescent="0.2">
      <c r="A240" t="s">
        <v>2835</v>
      </c>
      <c r="B240" t="s">
        <v>2834</v>
      </c>
      <c r="C240">
        <v>15</v>
      </c>
      <c r="D240" t="s">
        <v>111</v>
      </c>
      <c r="E240">
        <v>0</v>
      </c>
      <c r="F240" t="s">
        <v>2833</v>
      </c>
      <c r="G240" t="s">
        <v>109</v>
      </c>
      <c r="H240" t="s">
        <v>108</v>
      </c>
      <c r="M240">
        <v>275</v>
      </c>
      <c r="N240" t="s">
        <v>560</v>
      </c>
      <c r="O240" t="s">
        <v>2832</v>
      </c>
      <c r="P240">
        <v>20164</v>
      </c>
      <c r="Q240">
        <v>57594</v>
      </c>
      <c r="R240" t="s">
        <v>2831</v>
      </c>
      <c r="S240" t="s">
        <v>2830</v>
      </c>
    </row>
    <row r="241" spans="1:19" x14ac:dyDescent="0.2">
      <c r="A241" t="s">
        <v>2829</v>
      </c>
      <c r="B241" t="s">
        <v>2826</v>
      </c>
      <c r="C241">
        <v>15</v>
      </c>
      <c r="D241" t="s">
        <v>363</v>
      </c>
      <c r="E241">
        <v>0</v>
      </c>
      <c r="F241" t="s">
        <v>2828</v>
      </c>
      <c r="G241" t="s">
        <v>118</v>
      </c>
      <c r="H241" t="s">
        <v>117</v>
      </c>
      <c r="I241">
        <v>0.99655769604379596</v>
      </c>
      <c r="J241">
        <v>0.98434607801696705</v>
      </c>
      <c r="K241">
        <v>56</v>
      </c>
      <c r="L241">
        <v>32</v>
      </c>
      <c r="M241">
        <v>510</v>
      </c>
      <c r="N241" t="s">
        <v>2806</v>
      </c>
      <c r="O241" t="s">
        <v>2824</v>
      </c>
      <c r="P241">
        <v>5224</v>
      </c>
      <c r="Q241">
        <v>3297</v>
      </c>
      <c r="R241" t="s">
        <v>2823</v>
      </c>
      <c r="S241" t="s">
        <v>2822</v>
      </c>
    </row>
    <row r="242" spans="1:19" x14ac:dyDescent="0.2">
      <c r="A242" t="s">
        <v>2827</v>
      </c>
      <c r="B242" t="s">
        <v>2826</v>
      </c>
      <c r="C242">
        <v>9</v>
      </c>
      <c r="D242" t="s">
        <v>363</v>
      </c>
      <c r="E242">
        <v>1</v>
      </c>
      <c r="F242" t="s">
        <v>2825</v>
      </c>
      <c r="G242" t="s">
        <v>118</v>
      </c>
      <c r="H242" t="s">
        <v>117</v>
      </c>
      <c r="I242">
        <v>0.94575140269052405</v>
      </c>
      <c r="J242">
        <v>0.91114245744924505</v>
      </c>
      <c r="K242">
        <v>56</v>
      </c>
      <c r="L242">
        <v>32</v>
      </c>
      <c r="M242">
        <v>109</v>
      </c>
      <c r="N242" t="s">
        <v>2806</v>
      </c>
      <c r="O242" t="s">
        <v>2824</v>
      </c>
      <c r="P242">
        <v>5224</v>
      </c>
      <c r="Q242">
        <v>3297</v>
      </c>
      <c r="R242" t="s">
        <v>2823</v>
      </c>
      <c r="S242" t="s">
        <v>2822</v>
      </c>
    </row>
    <row r="243" spans="1:19" x14ac:dyDescent="0.2">
      <c r="A243" t="s">
        <v>2821</v>
      </c>
      <c r="B243" t="s">
        <v>2820</v>
      </c>
      <c r="C243">
        <v>14</v>
      </c>
      <c r="D243" t="s">
        <v>363</v>
      </c>
      <c r="E243">
        <v>0</v>
      </c>
      <c r="F243" t="s">
        <v>2819</v>
      </c>
      <c r="G243" t="s">
        <v>229</v>
      </c>
      <c r="H243" t="s">
        <v>228</v>
      </c>
      <c r="M243">
        <v>1043</v>
      </c>
      <c r="N243" t="s">
        <v>2806</v>
      </c>
      <c r="O243" t="s">
        <v>2818</v>
      </c>
      <c r="P243">
        <v>5225</v>
      </c>
      <c r="Q243">
        <v>3298</v>
      </c>
      <c r="R243" t="s">
        <v>2817</v>
      </c>
      <c r="S243" t="s">
        <v>2816</v>
      </c>
    </row>
    <row r="244" spans="1:19" x14ac:dyDescent="0.2">
      <c r="A244" t="s">
        <v>2815</v>
      </c>
      <c r="B244" t="s">
        <v>2814</v>
      </c>
      <c r="C244">
        <v>15</v>
      </c>
      <c r="D244" t="s">
        <v>111</v>
      </c>
      <c r="E244">
        <v>0</v>
      </c>
      <c r="F244" t="s">
        <v>2813</v>
      </c>
      <c r="G244" t="s">
        <v>109</v>
      </c>
      <c r="H244" t="s">
        <v>108</v>
      </c>
      <c r="M244">
        <v>17390</v>
      </c>
      <c r="N244" t="s">
        <v>2806</v>
      </c>
      <c r="O244" t="s">
        <v>2812</v>
      </c>
      <c r="P244">
        <v>5227</v>
      </c>
      <c r="Q244">
        <v>3299</v>
      </c>
      <c r="R244" t="s">
        <v>2811</v>
      </c>
      <c r="S244" t="s">
        <v>2810</v>
      </c>
    </row>
    <row r="245" spans="1:19" x14ac:dyDescent="0.2">
      <c r="A245" t="s">
        <v>2809</v>
      </c>
      <c r="B245" t="s">
        <v>2808</v>
      </c>
      <c r="C245">
        <v>12</v>
      </c>
      <c r="D245" t="s">
        <v>111</v>
      </c>
      <c r="E245">
        <v>0</v>
      </c>
      <c r="F245" t="s">
        <v>2807</v>
      </c>
      <c r="G245" t="s">
        <v>109</v>
      </c>
      <c r="H245" t="s">
        <v>108</v>
      </c>
      <c r="M245">
        <v>6657</v>
      </c>
      <c r="N245" t="s">
        <v>2806</v>
      </c>
      <c r="O245" t="s">
        <v>2805</v>
      </c>
      <c r="P245" t="s">
        <v>2804</v>
      </c>
      <c r="Q245" t="s">
        <v>2803</v>
      </c>
      <c r="R245" t="s">
        <v>2802</v>
      </c>
      <c r="S245" t="s">
        <v>2801</v>
      </c>
    </row>
    <row r="246" spans="1:19" x14ac:dyDescent="0.2">
      <c r="A246" t="s">
        <v>2800</v>
      </c>
      <c r="B246" t="s">
        <v>2799</v>
      </c>
      <c r="C246">
        <v>10</v>
      </c>
      <c r="D246" t="s">
        <v>363</v>
      </c>
      <c r="E246">
        <v>0</v>
      </c>
      <c r="F246" t="s">
        <v>2798</v>
      </c>
      <c r="G246" t="s">
        <v>118</v>
      </c>
      <c r="H246" t="s">
        <v>117</v>
      </c>
      <c r="I246">
        <v>0.91487648310903302</v>
      </c>
      <c r="J246">
        <v>0.98715436944776702</v>
      </c>
      <c r="K246">
        <v>49</v>
      </c>
      <c r="L246">
        <v>10</v>
      </c>
      <c r="M246">
        <v>502</v>
      </c>
      <c r="N246" t="s">
        <v>819</v>
      </c>
      <c r="O246" t="s">
        <v>2797</v>
      </c>
      <c r="P246">
        <v>11623</v>
      </c>
      <c r="Q246">
        <v>6938</v>
      </c>
      <c r="R246" t="s">
        <v>2796</v>
      </c>
      <c r="S246" t="s">
        <v>2795</v>
      </c>
    </row>
    <row r="247" spans="1:19" x14ac:dyDescent="0.2">
      <c r="A247" t="s">
        <v>2794</v>
      </c>
      <c r="B247" t="s">
        <v>28</v>
      </c>
      <c r="C247">
        <v>12</v>
      </c>
      <c r="D247" t="s">
        <v>120</v>
      </c>
      <c r="E247">
        <v>0</v>
      </c>
      <c r="F247" t="s">
        <v>2793</v>
      </c>
      <c r="G247" t="s">
        <v>229</v>
      </c>
      <c r="H247" t="s">
        <v>228</v>
      </c>
      <c r="M247">
        <v>10</v>
      </c>
      <c r="N247" t="s">
        <v>1660</v>
      </c>
      <c r="O247" t="s">
        <v>2640</v>
      </c>
      <c r="P247">
        <v>5100</v>
      </c>
      <c r="Q247">
        <v>3206</v>
      </c>
      <c r="R247" t="s">
        <v>2792</v>
      </c>
      <c r="S247" t="s">
        <v>2791</v>
      </c>
    </row>
    <row r="248" spans="1:19" x14ac:dyDescent="0.2">
      <c r="A248" t="s">
        <v>2790</v>
      </c>
      <c r="B248" t="s">
        <v>2789</v>
      </c>
      <c r="C248">
        <v>13</v>
      </c>
      <c r="D248" t="s">
        <v>111</v>
      </c>
      <c r="E248">
        <v>0</v>
      </c>
      <c r="F248" t="s">
        <v>2788</v>
      </c>
      <c r="G248" t="s">
        <v>109</v>
      </c>
      <c r="H248" t="s">
        <v>108</v>
      </c>
      <c r="M248">
        <v>2642</v>
      </c>
      <c r="N248" t="s">
        <v>1660</v>
      </c>
      <c r="O248" t="s">
        <v>2640</v>
      </c>
      <c r="P248">
        <v>5101</v>
      </c>
      <c r="Q248">
        <v>3207</v>
      </c>
      <c r="R248" t="s">
        <v>2787</v>
      </c>
      <c r="S248" t="s">
        <v>2786</v>
      </c>
    </row>
    <row r="249" spans="1:19" x14ac:dyDescent="0.2">
      <c r="A249" t="s">
        <v>2785</v>
      </c>
      <c r="B249" t="s">
        <v>2784</v>
      </c>
      <c r="C249">
        <v>11</v>
      </c>
      <c r="D249" t="s">
        <v>120</v>
      </c>
      <c r="E249">
        <v>0</v>
      </c>
      <c r="F249" t="s">
        <v>2783</v>
      </c>
      <c r="G249" t="s">
        <v>229</v>
      </c>
      <c r="H249" t="s">
        <v>228</v>
      </c>
      <c r="M249">
        <v>18</v>
      </c>
      <c r="N249" t="s">
        <v>1660</v>
      </c>
      <c r="O249" t="s">
        <v>2640</v>
      </c>
      <c r="P249">
        <v>5102</v>
      </c>
      <c r="Q249">
        <v>3209</v>
      </c>
      <c r="R249" t="s">
        <v>2782</v>
      </c>
      <c r="S249" t="s">
        <v>2781</v>
      </c>
    </row>
    <row r="250" spans="1:19" x14ac:dyDescent="0.2">
      <c r="A250" t="s">
        <v>2780</v>
      </c>
      <c r="B250" t="s">
        <v>2779</v>
      </c>
      <c r="C250">
        <v>10</v>
      </c>
      <c r="D250" t="s">
        <v>120</v>
      </c>
      <c r="E250">
        <v>0</v>
      </c>
      <c r="F250" t="s">
        <v>2778</v>
      </c>
      <c r="G250" t="s">
        <v>229</v>
      </c>
      <c r="H250" t="s">
        <v>228</v>
      </c>
      <c r="M250">
        <v>8</v>
      </c>
      <c r="N250" t="s">
        <v>1660</v>
      </c>
      <c r="O250" t="s">
        <v>2747</v>
      </c>
      <c r="P250">
        <v>5099</v>
      </c>
      <c r="Q250">
        <v>3198</v>
      </c>
      <c r="R250" t="s">
        <v>2777</v>
      </c>
      <c r="S250" t="s">
        <v>2776</v>
      </c>
    </row>
    <row r="251" spans="1:19" x14ac:dyDescent="0.2">
      <c r="A251" t="s">
        <v>2775</v>
      </c>
      <c r="B251" t="s">
        <v>2774</v>
      </c>
      <c r="C251">
        <v>11</v>
      </c>
      <c r="D251" t="s">
        <v>111</v>
      </c>
      <c r="E251">
        <v>0</v>
      </c>
      <c r="F251" t="s">
        <v>2773</v>
      </c>
      <c r="G251" t="s">
        <v>109</v>
      </c>
      <c r="H251" t="s">
        <v>108</v>
      </c>
      <c r="M251">
        <v>14435</v>
      </c>
      <c r="N251" t="s">
        <v>1660</v>
      </c>
      <c r="O251" t="s">
        <v>2741</v>
      </c>
      <c r="P251">
        <v>5103</v>
      </c>
      <c r="Q251">
        <v>3199</v>
      </c>
      <c r="R251" t="s">
        <v>2772</v>
      </c>
      <c r="S251" t="s">
        <v>2771</v>
      </c>
    </row>
    <row r="252" spans="1:19" x14ac:dyDescent="0.2">
      <c r="A252" t="s">
        <v>2770</v>
      </c>
      <c r="B252" t="s">
        <v>69</v>
      </c>
      <c r="C252">
        <v>10</v>
      </c>
      <c r="D252" t="s">
        <v>111</v>
      </c>
      <c r="E252">
        <v>0</v>
      </c>
      <c r="F252" t="s">
        <v>2769</v>
      </c>
      <c r="G252" t="s">
        <v>229</v>
      </c>
      <c r="H252" t="s">
        <v>228</v>
      </c>
      <c r="M252">
        <v>54</v>
      </c>
      <c r="N252" t="s">
        <v>1660</v>
      </c>
      <c r="O252" t="s">
        <v>2768</v>
      </c>
      <c r="P252">
        <v>5106</v>
      </c>
      <c r="Q252">
        <v>3202</v>
      </c>
      <c r="R252" t="s">
        <v>2767</v>
      </c>
      <c r="S252" t="s">
        <v>2766</v>
      </c>
    </row>
    <row r="253" spans="1:19" x14ac:dyDescent="0.2">
      <c r="A253" t="s">
        <v>2765</v>
      </c>
      <c r="B253" t="s">
        <v>2764</v>
      </c>
      <c r="C253">
        <v>15</v>
      </c>
      <c r="D253" t="s">
        <v>111</v>
      </c>
      <c r="E253">
        <v>0</v>
      </c>
      <c r="F253" t="s">
        <v>2763</v>
      </c>
      <c r="G253" t="s">
        <v>229</v>
      </c>
      <c r="H253" t="s">
        <v>228</v>
      </c>
      <c r="M253">
        <v>21</v>
      </c>
      <c r="N253" t="s">
        <v>1660</v>
      </c>
      <c r="O253" t="s">
        <v>2692</v>
      </c>
      <c r="P253">
        <v>5108</v>
      </c>
      <c r="Q253">
        <v>3204</v>
      </c>
      <c r="R253" t="s">
        <v>2762</v>
      </c>
      <c r="S253" t="s">
        <v>2761</v>
      </c>
    </row>
    <row r="254" spans="1:19" x14ac:dyDescent="0.2">
      <c r="A254" t="s">
        <v>2760</v>
      </c>
      <c r="B254" t="s">
        <v>2759</v>
      </c>
      <c r="C254">
        <v>11</v>
      </c>
      <c r="D254" t="s">
        <v>388</v>
      </c>
      <c r="E254">
        <v>0</v>
      </c>
      <c r="F254" t="s">
        <v>2758</v>
      </c>
      <c r="G254" t="s">
        <v>118</v>
      </c>
      <c r="H254" t="s">
        <v>117</v>
      </c>
      <c r="I254">
        <v>0.88300622435315002</v>
      </c>
      <c r="J254">
        <v>0.75723933218533501</v>
      </c>
      <c r="K254">
        <v>5</v>
      </c>
      <c r="L254">
        <v>8</v>
      </c>
      <c r="M254">
        <v>500</v>
      </c>
      <c r="N254" t="s">
        <v>1660</v>
      </c>
      <c r="O254" t="s">
        <v>2640</v>
      </c>
      <c r="P254">
        <v>5109</v>
      </c>
      <c r="Q254">
        <v>3205</v>
      </c>
      <c r="R254" t="s">
        <v>2757</v>
      </c>
      <c r="S254" t="s">
        <v>2756</v>
      </c>
    </row>
    <row r="255" spans="1:19" x14ac:dyDescent="0.2">
      <c r="A255" t="s">
        <v>2755</v>
      </c>
      <c r="B255" t="s">
        <v>2754</v>
      </c>
      <c r="C255">
        <v>10</v>
      </c>
      <c r="D255" t="s">
        <v>363</v>
      </c>
      <c r="E255">
        <v>0</v>
      </c>
      <c r="F255" t="s">
        <v>2753</v>
      </c>
      <c r="G255" t="s">
        <v>118</v>
      </c>
      <c r="H255" t="s">
        <v>117</v>
      </c>
      <c r="I255">
        <v>0.84584777911805598</v>
      </c>
      <c r="K255">
        <v>9</v>
      </c>
      <c r="M255">
        <v>500</v>
      </c>
      <c r="N255" t="s">
        <v>1660</v>
      </c>
      <c r="O255" t="s">
        <v>2640</v>
      </c>
      <c r="P255">
        <v>5112</v>
      </c>
      <c r="Q255">
        <v>10481</v>
      </c>
      <c r="R255" t="s">
        <v>2752</v>
      </c>
      <c r="S255" t="s">
        <v>2751</v>
      </c>
    </row>
    <row r="256" spans="1:19" x14ac:dyDescent="0.2">
      <c r="A256" t="s">
        <v>2750</v>
      </c>
      <c r="B256" t="s">
        <v>2749</v>
      </c>
      <c r="C256">
        <v>10</v>
      </c>
      <c r="D256" t="s">
        <v>111</v>
      </c>
      <c r="E256">
        <v>0</v>
      </c>
      <c r="F256" t="s">
        <v>2748</v>
      </c>
      <c r="G256" t="s">
        <v>229</v>
      </c>
      <c r="H256" t="s">
        <v>228</v>
      </c>
      <c r="M256">
        <v>15</v>
      </c>
      <c r="N256" t="s">
        <v>1660</v>
      </c>
      <c r="O256" t="s">
        <v>2747</v>
      </c>
      <c r="P256">
        <v>5111</v>
      </c>
      <c r="Q256">
        <v>3211</v>
      </c>
      <c r="R256" t="s">
        <v>2746</v>
      </c>
      <c r="S256" t="s">
        <v>2745</v>
      </c>
    </row>
    <row r="257" spans="1:19" x14ac:dyDescent="0.2">
      <c r="A257" t="s">
        <v>2744</v>
      </c>
      <c r="B257" t="s">
        <v>2743</v>
      </c>
      <c r="C257">
        <v>15</v>
      </c>
      <c r="D257" t="s">
        <v>111</v>
      </c>
      <c r="E257">
        <v>0</v>
      </c>
      <c r="F257" t="s">
        <v>2742</v>
      </c>
      <c r="G257" t="s">
        <v>109</v>
      </c>
      <c r="H257" t="s">
        <v>108</v>
      </c>
      <c r="M257">
        <v>420</v>
      </c>
      <c r="N257" t="s">
        <v>1660</v>
      </c>
      <c r="O257" t="s">
        <v>2741</v>
      </c>
      <c r="P257">
        <v>5113</v>
      </c>
      <c r="Q257">
        <v>3212</v>
      </c>
      <c r="R257" t="s">
        <v>2740</v>
      </c>
      <c r="S257" t="s">
        <v>2739</v>
      </c>
    </row>
    <row r="258" spans="1:19" x14ac:dyDescent="0.2">
      <c r="A258" t="s">
        <v>2738</v>
      </c>
      <c r="B258" t="s">
        <v>2737</v>
      </c>
      <c r="C258">
        <v>14</v>
      </c>
      <c r="D258" t="s">
        <v>111</v>
      </c>
      <c r="E258">
        <v>0</v>
      </c>
      <c r="F258" t="s">
        <v>2736</v>
      </c>
      <c r="G258" t="s">
        <v>109</v>
      </c>
      <c r="H258" t="s">
        <v>108</v>
      </c>
      <c r="M258">
        <v>3405</v>
      </c>
      <c r="N258" t="s">
        <v>1660</v>
      </c>
      <c r="O258" t="s">
        <v>2658</v>
      </c>
      <c r="P258">
        <v>5114</v>
      </c>
      <c r="Q258">
        <v>3213</v>
      </c>
      <c r="R258" t="s">
        <v>2735</v>
      </c>
      <c r="S258" t="s">
        <v>2734</v>
      </c>
    </row>
    <row r="259" spans="1:19" x14ac:dyDescent="0.2">
      <c r="A259" t="s">
        <v>2733</v>
      </c>
      <c r="B259" t="s">
        <v>2732</v>
      </c>
      <c r="C259">
        <v>8</v>
      </c>
      <c r="D259" t="s">
        <v>388</v>
      </c>
      <c r="E259">
        <v>0</v>
      </c>
      <c r="F259" t="s">
        <v>2731</v>
      </c>
      <c r="G259" t="s">
        <v>118</v>
      </c>
      <c r="H259" t="s">
        <v>117</v>
      </c>
      <c r="I259">
        <v>0.49071066794610502</v>
      </c>
      <c r="J259">
        <v>0.894377361122623</v>
      </c>
      <c r="K259">
        <v>2</v>
      </c>
      <c r="L259">
        <v>12</v>
      </c>
      <c r="M259">
        <v>502</v>
      </c>
      <c r="N259" t="s">
        <v>1660</v>
      </c>
      <c r="O259" t="s">
        <v>2652</v>
      </c>
      <c r="P259">
        <v>5115</v>
      </c>
      <c r="Q259">
        <v>3214</v>
      </c>
      <c r="R259" t="s">
        <v>2730</v>
      </c>
      <c r="S259" t="s">
        <v>2729</v>
      </c>
    </row>
    <row r="260" spans="1:19" x14ac:dyDescent="0.2">
      <c r="A260" t="s">
        <v>2728</v>
      </c>
      <c r="B260" t="s">
        <v>32</v>
      </c>
      <c r="C260">
        <v>13</v>
      </c>
      <c r="D260" t="s">
        <v>111</v>
      </c>
      <c r="E260">
        <v>0</v>
      </c>
      <c r="F260" t="s">
        <v>2727</v>
      </c>
      <c r="G260" t="s">
        <v>229</v>
      </c>
      <c r="H260" t="s">
        <v>228</v>
      </c>
      <c r="M260">
        <v>7</v>
      </c>
      <c r="N260" t="s">
        <v>1660</v>
      </c>
      <c r="O260" t="s">
        <v>2692</v>
      </c>
      <c r="P260">
        <v>5117</v>
      </c>
      <c r="Q260">
        <v>3216</v>
      </c>
      <c r="R260" t="s">
        <v>2726</v>
      </c>
      <c r="S260" t="s">
        <v>2725</v>
      </c>
    </row>
    <row r="261" spans="1:19" x14ac:dyDescent="0.2">
      <c r="A261" t="s">
        <v>2724</v>
      </c>
      <c r="B261" t="s">
        <v>2723</v>
      </c>
      <c r="C261">
        <v>10</v>
      </c>
      <c r="D261" t="s">
        <v>120</v>
      </c>
      <c r="E261">
        <v>0</v>
      </c>
      <c r="F261" t="s">
        <v>2722</v>
      </c>
      <c r="G261" t="s">
        <v>229</v>
      </c>
      <c r="H261" t="s">
        <v>228</v>
      </c>
      <c r="M261">
        <v>28</v>
      </c>
      <c r="N261" t="s">
        <v>1660</v>
      </c>
      <c r="O261" t="s">
        <v>2692</v>
      </c>
      <c r="P261">
        <v>5118</v>
      </c>
      <c r="Q261">
        <v>3217</v>
      </c>
      <c r="R261" t="s">
        <v>2721</v>
      </c>
      <c r="S261" t="s">
        <v>2720</v>
      </c>
    </row>
    <row r="262" spans="1:19" x14ac:dyDescent="0.2">
      <c r="A262" t="s">
        <v>2719</v>
      </c>
      <c r="B262" t="s">
        <v>64</v>
      </c>
      <c r="C262">
        <v>11</v>
      </c>
      <c r="D262" t="s">
        <v>120</v>
      </c>
      <c r="E262">
        <v>0</v>
      </c>
      <c r="F262" t="s">
        <v>2718</v>
      </c>
      <c r="G262" t="s">
        <v>229</v>
      </c>
      <c r="H262" t="s">
        <v>228</v>
      </c>
      <c r="M262">
        <v>26</v>
      </c>
      <c r="N262" t="s">
        <v>1660</v>
      </c>
      <c r="O262" t="s">
        <v>2646</v>
      </c>
      <c r="P262">
        <v>5119</v>
      </c>
      <c r="Q262">
        <v>3218</v>
      </c>
      <c r="R262" t="s">
        <v>2717</v>
      </c>
      <c r="S262" t="s">
        <v>2716</v>
      </c>
    </row>
    <row r="263" spans="1:19" x14ac:dyDescent="0.2">
      <c r="A263" t="s">
        <v>2715</v>
      </c>
      <c r="B263" t="s">
        <v>2714</v>
      </c>
      <c r="C263">
        <v>19</v>
      </c>
      <c r="D263" t="s">
        <v>111</v>
      </c>
      <c r="E263">
        <v>0</v>
      </c>
      <c r="F263" t="s">
        <v>2713</v>
      </c>
      <c r="G263" t="s">
        <v>109</v>
      </c>
      <c r="H263" t="s">
        <v>108</v>
      </c>
      <c r="M263">
        <v>9418</v>
      </c>
      <c r="N263" t="s">
        <v>1660</v>
      </c>
      <c r="O263" t="s">
        <v>2640</v>
      </c>
      <c r="P263">
        <v>5122</v>
      </c>
      <c r="Q263">
        <v>3226</v>
      </c>
      <c r="R263" t="s">
        <v>2712</v>
      </c>
      <c r="S263" t="s">
        <v>2711</v>
      </c>
    </row>
    <row r="264" spans="1:19" x14ac:dyDescent="0.2">
      <c r="A264" t="s">
        <v>2710</v>
      </c>
      <c r="B264" t="s">
        <v>2709</v>
      </c>
      <c r="C264">
        <v>11</v>
      </c>
      <c r="D264" t="s">
        <v>111</v>
      </c>
      <c r="E264">
        <v>0</v>
      </c>
      <c r="F264" t="s">
        <v>2708</v>
      </c>
      <c r="G264" t="s">
        <v>109</v>
      </c>
      <c r="H264" t="s">
        <v>108</v>
      </c>
      <c r="M264">
        <v>318</v>
      </c>
      <c r="N264" t="s">
        <v>1660</v>
      </c>
      <c r="O264" t="s">
        <v>2640</v>
      </c>
      <c r="P264">
        <v>5123</v>
      </c>
      <c r="Q264">
        <v>3227</v>
      </c>
      <c r="R264" t="s">
        <v>2707</v>
      </c>
      <c r="S264" t="s">
        <v>2706</v>
      </c>
    </row>
    <row r="265" spans="1:19" x14ac:dyDescent="0.2">
      <c r="A265" t="s">
        <v>2705</v>
      </c>
      <c r="B265" t="s">
        <v>2704</v>
      </c>
      <c r="C265">
        <v>12</v>
      </c>
      <c r="D265" t="s">
        <v>111</v>
      </c>
      <c r="E265">
        <v>0</v>
      </c>
      <c r="F265" t="s">
        <v>2703</v>
      </c>
      <c r="G265" t="s">
        <v>109</v>
      </c>
      <c r="H265" t="s">
        <v>108</v>
      </c>
      <c r="M265">
        <v>2466</v>
      </c>
      <c r="N265" t="s">
        <v>1660</v>
      </c>
      <c r="O265" t="s">
        <v>2640</v>
      </c>
      <c r="P265">
        <v>5124</v>
      </c>
      <c r="Q265">
        <v>3228</v>
      </c>
      <c r="R265" t="s">
        <v>2702</v>
      </c>
      <c r="S265" t="s">
        <v>2701</v>
      </c>
    </row>
    <row r="266" spans="1:19" x14ac:dyDescent="0.2">
      <c r="A266" t="s">
        <v>2700</v>
      </c>
      <c r="B266" t="s">
        <v>2699</v>
      </c>
      <c r="C266">
        <v>11</v>
      </c>
      <c r="D266" t="s">
        <v>111</v>
      </c>
      <c r="E266">
        <v>0</v>
      </c>
      <c r="F266" t="s">
        <v>2698</v>
      </c>
      <c r="G266" t="s">
        <v>109</v>
      </c>
      <c r="H266" t="s">
        <v>108</v>
      </c>
      <c r="M266">
        <v>1231</v>
      </c>
      <c r="N266" t="s">
        <v>1660</v>
      </c>
      <c r="O266" t="s">
        <v>2640</v>
      </c>
      <c r="P266">
        <v>5125</v>
      </c>
      <c r="Q266">
        <v>3229</v>
      </c>
      <c r="R266" t="s">
        <v>2697</v>
      </c>
      <c r="S266" t="s">
        <v>2696</v>
      </c>
    </row>
    <row r="267" spans="1:19" x14ac:dyDescent="0.2">
      <c r="A267" t="s">
        <v>2695</v>
      </c>
      <c r="B267" t="s">
        <v>2694</v>
      </c>
      <c r="C267">
        <v>15</v>
      </c>
      <c r="D267" t="s">
        <v>111</v>
      </c>
      <c r="E267">
        <v>0</v>
      </c>
      <c r="F267" t="s">
        <v>2693</v>
      </c>
      <c r="G267" t="s">
        <v>229</v>
      </c>
      <c r="H267" t="s">
        <v>228</v>
      </c>
      <c r="M267">
        <v>7</v>
      </c>
      <c r="N267" t="s">
        <v>1660</v>
      </c>
      <c r="O267" t="s">
        <v>2692</v>
      </c>
      <c r="P267">
        <v>5128</v>
      </c>
      <c r="Q267">
        <v>3223</v>
      </c>
      <c r="R267" t="s">
        <v>2691</v>
      </c>
      <c r="S267" t="s">
        <v>2690</v>
      </c>
    </row>
    <row r="268" spans="1:19" x14ac:dyDescent="0.2">
      <c r="A268" t="s">
        <v>2689</v>
      </c>
      <c r="B268" t="s">
        <v>2688</v>
      </c>
      <c r="C268">
        <v>14</v>
      </c>
      <c r="D268" t="s">
        <v>111</v>
      </c>
      <c r="E268">
        <v>0</v>
      </c>
      <c r="F268" t="s">
        <v>2687</v>
      </c>
      <c r="G268" t="s">
        <v>229</v>
      </c>
      <c r="H268" t="s">
        <v>228</v>
      </c>
      <c r="M268">
        <v>9</v>
      </c>
      <c r="N268" t="s">
        <v>1660</v>
      </c>
      <c r="O268" t="s">
        <v>2646</v>
      </c>
      <c r="P268">
        <v>5129</v>
      </c>
      <c r="Q268">
        <v>3224</v>
      </c>
      <c r="R268" t="s">
        <v>2686</v>
      </c>
      <c r="S268" t="s">
        <v>2685</v>
      </c>
    </row>
    <row r="269" spans="1:19" x14ac:dyDescent="0.2">
      <c r="A269" t="s">
        <v>2684</v>
      </c>
      <c r="B269" t="s">
        <v>52</v>
      </c>
      <c r="C269">
        <v>10</v>
      </c>
      <c r="D269" t="s">
        <v>120</v>
      </c>
      <c r="E269">
        <v>0</v>
      </c>
      <c r="F269" t="s">
        <v>2683</v>
      </c>
      <c r="G269" t="s">
        <v>118</v>
      </c>
      <c r="H269" t="s">
        <v>117</v>
      </c>
      <c r="I269">
        <v>0.87124276059443895</v>
      </c>
      <c r="K269">
        <v>2</v>
      </c>
      <c r="M269">
        <v>500</v>
      </c>
      <c r="N269" t="s">
        <v>1660</v>
      </c>
      <c r="O269" t="s">
        <v>2640</v>
      </c>
      <c r="P269">
        <v>5130</v>
      </c>
      <c r="Q269">
        <v>3225</v>
      </c>
      <c r="R269" t="s">
        <v>2682</v>
      </c>
      <c r="S269" t="s">
        <v>2681</v>
      </c>
    </row>
    <row r="270" spans="1:19" x14ac:dyDescent="0.2">
      <c r="A270" t="s">
        <v>2680</v>
      </c>
      <c r="B270" t="s">
        <v>84</v>
      </c>
      <c r="C270">
        <v>10</v>
      </c>
      <c r="D270" t="s">
        <v>111</v>
      </c>
      <c r="E270">
        <v>0</v>
      </c>
      <c r="F270" t="s">
        <v>2679</v>
      </c>
      <c r="G270" t="s">
        <v>229</v>
      </c>
      <c r="H270" t="s">
        <v>228</v>
      </c>
      <c r="M270">
        <v>7</v>
      </c>
      <c r="N270" t="s">
        <v>1660</v>
      </c>
      <c r="O270" t="s">
        <v>2640</v>
      </c>
      <c r="P270">
        <v>5133</v>
      </c>
      <c r="Q270">
        <v>3236</v>
      </c>
      <c r="R270" t="s">
        <v>2678</v>
      </c>
      <c r="S270" t="s">
        <v>2677</v>
      </c>
    </row>
    <row r="271" spans="1:19" x14ac:dyDescent="0.2">
      <c r="A271" t="s">
        <v>2676</v>
      </c>
      <c r="B271" t="s">
        <v>2675</v>
      </c>
      <c r="C271">
        <v>11</v>
      </c>
      <c r="D271" t="s">
        <v>111</v>
      </c>
      <c r="E271">
        <v>0</v>
      </c>
      <c r="F271" t="s">
        <v>2674</v>
      </c>
      <c r="G271" t="s">
        <v>109</v>
      </c>
      <c r="H271" t="s">
        <v>108</v>
      </c>
      <c r="M271">
        <v>124</v>
      </c>
      <c r="N271" t="s">
        <v>1660</v>
      </c>
      <c r="O271" t="s">
        <v>2640</v>
      </c>
      <c r="P271">
        <v>5134</v>
      </c>
      <c r="Q271">
        <v>3237</v>
      </c>
      <c r="R271" t="s">
        <v>2673</v>
      </c>
      <c r="S271" t="s">
        <v>2672</v>
      </c>
    </row>
    <row r="272" spans="1:19" x14ac:dyDescent="0.2">
      <c r="A272" t="s">
        <v>2671</v>
      </c>
      <c r="B272" t="s">
        <v>2670</v>
      </c>
      <c r="C272">
        <v>11</v>
      </c>
      <c r="D272" t="s">
        <v>111</v>
      </c>
      <c r="E272">
        <v>0</v>
      </c>
      <c r="F272" t="s">
        <v>2669</v>
      </c>
      <c r="G272" t="s">
        <v>109</v>
      </c>
      <c r="H272" t="s">
        <v>108</v>
      </c>
      <c r="M272">
        <v>8291</v>
      </c>
      <c r="N272" t="s">
        <v>1660</v>
      </c>
      <c r="O272" t="s">
        <v>2640</v>
      </c>
      <c r="P272">
        <v>5135</v>
      </c>
      <c r="Q272">
        <v>3238</v>
      </c>
      <c r="R272" t="s">
        <v>2668</v>
      </c>
      <c r="S272" t="s">
        <v>2667</v>
      </c>
    </row>
    <row r="273" spans="1:19" x14ac:dyDescent="0.2">
      <c r="A273" t="s">
        <v>2666</v>
      </c>
      <c r="B273" t="s">
        <v>2665</v>
      </c>
      <c r="C273">
        <v>11</v>
      </c>
      <c r="D273" t="s">
        <v>111</v>
      </c>
      <c r="E273">
        <v>0</v>
      </c>
      <c r="F273" t="s">
        <v>2664</v>
      </c>
      <c r="G273" t="s">
        <v>229</v>
      </c>
      <c r="H273" t="s">
        <v>228</v>
      </c>
      <c r="M273">
        <v>13</v>
      </c>
      <c r="N273" t="s">
        <v>1660</v>
      </c>
      <c r="O273" t="s">
        <v>2640</v>
      </c>
      <c r="P273">
        <v>5136</v>
      </c>
      <c r="Q273">
        <v>3239</v>
      </c>
      <c r="R273" t="s">
        <v>2663</v>
      </c>
      <c r="S273" t="s">
        <v>2662</v>
      </c>
    </row>
    <row r="274" spans="1:19" x14ac:dyDescent="0.2">
      <c r="A274" t="s">
        <v>2661</v>
      </c>
      <c r="B274" t="s">
        <v>2660</v>
      </c>
      <c r="C274">
        <v>11</v>
      </c>
      <c r="D274" t="s">
        <v>111</v>
      </c>
      <c r="E274">
        <v>0</v>
      </c>
      <c r="F274" t="s">
        <v>2659</v>
      </c>
      <c r="G274" t="s">
        <v>109</v>
      </c>
      <c r="H274" t="s">
        <v>108</v>
      </c>
      <c r="M274">
        <v>601</v>
      </c>
      <c r="N274" t="s">
        <v>1660</v>
      </c>
      <c r="O274" t="s">
        <v>2658</v>
      </c>
      <c r="P274">
        <v>5137</v>
      </c>
      <c r="Q274">
        <v>3232</v>
      </c>
      <c r="R274" t="s">
        <v>2657</v>
      </c>
      <c r="S274" t="s">
        <v>2656</v>
      </c>
    </row>
    <row r="275" spans="1:19" x14ac:dyDescent="0.2">
      <c r="A275" t="s">
        <v>2655</v>
      </c>
      <c r="B275" t="s">
        <v>2654</v>
      </c>
      <c r="C275">
        <v>8</v>
      </c>
      <c r="D275" t="s">
        <v>111</v>
      </c>
      <c r="E275">
        <v>0</v>
      </c>
      <c r="F275" t="s">
        <v>2653</v>
      </c>
      <c r="G275" t="s">
        <v>229</v>
      </c>
      <c r="H275" t="s">
        <v>228</v>
      </c>
      <c r="M275">
        <v>8</v>
      </c>
      <c r="N275" t="s">
        <v>1660</v>
      </c>
      <c r="O275" t="s">
        <v>2652</v>
      </c>
      <c r="P275">
        <v>5138</v>
      </c>
      <c r="Q275">
        <v>3233</v>
      </c>
      <c r="R275" t="s">
        <v>2651</v>
      </c>
      <c r="S275" t="s">
        <v>2650</v>
      </c>
    </row>
    <row r="276" spans="1:19" x14ac:dyDescent="0.2">
      <c r="A276" t="s">
        <v>2649</v>
      </c>
      <c r="B276" t="s">
        <v>2648</v>
      </c>
      <c r="C276">
        <v>11</v>
      </c>
      <c r="D276" t="s">
        <v>111</v>
      </c>
      <c r="E276">
        <v>0</v>
      </c>
      <c r="F276" t="s">
        <v>2647</v>
      </c>
      <c r="G276" t="s">
        <v>109</v>
      </c>
      <c r="H276" t="s">
        <v>108</v>
      </c>
      <c r="M276">
        <v>278</v>
      </c>
      <c r="N276" t="s">
        <v>1660</v>
      </c>
      <c r="O276" t="s">
        <v>2646</v>
      </c>
      <c r="P276">
        <v>5139</v>
      </c>
      <c r="Q276">
        <v>3234</v>
      </c>
      <c r="R276" t="s">
        <v>2645</v>
      </c>
      <c r="S276" t="s">
        <v>2644</v>
      </c>
    </row>
    <row r="277" spans="1:19" x14ac:dyDescent="0.2">
      <c r="A277" t="s">
        <v>2643</v>
      </c>
      <c r="B277" t="s">
        <v>2642</v>
      </c>
      <c r="C277">
        <v>10</v>
      </c>
      <c r="D277" t="s">
        <v>111</v>
      </c>
      <c r="E277">
        <v>0</v>
      </c>
      <c r="F277" t="s">
        <v>2641</v>
      </c>
      <c r="G277" t="s">
        <v>229</v>
      </c>
      <c r="H277" t="s">
        <v>228</v>
      </c>
      <c r="M277">
        <v>6</v>
      </c>
      <c r="N277" t="s">
        <v>1660</v>
      </c>
      <c r="O277" t="s">
        <v>2640</v>
      </c>
      <c r="P277">
        <v>5140</v>
      </c>
      <c r="Q277">
        <v>3235</v>
      </c>
      <c r="R277" t="s">
        <v>2639</v>
      </c>
      <c r="S277" t="s">
        <v>2638</v>
      </c>
    </row>
    <row r="278" spans="1:19" x14ac:dyDescent="0.2">
      <c r="A278" t="s">
        <v>2637</v>
      </c>
      <c r="B278" t="s">
        <v>2636</v>
      </c>
      <c r="C278">
        <v>11</v>
      </c>
      <c r="D278" t="s">
        <v>111</v>
      </c>
      <c r="E278">
        <v>0</v>
      </c>
      <c r="F278" t="s">
        <v>2635</v>
      </c>
      <c r="G278" t="s">
        <v>109</v>
      </c>
      <c r="H278" t="s">
        <v>108</v>
      </c>
      <c r="M278">
        <v>210</v>
      </c>
      <c r="N278" t="s">
        <v>2634</v>
      </c>
      <c r="O278" t="s">
        <v>2633</v>
      </c>
      <c r="P278">
        <v>5363</v>
      </c>
      <c r="Q278">
        <v>3400</v>
      </c>
      <c r="R278" t="s">
        <v>2632</v>
      </c>
      <c r="S278" t="s">
        <v>2631</v>
      </c>
    </row>
    <row r="279" spans="1:19" x14ac:dyDescent="0.2">
      <c r="A279" t="s">
        <v>2630</v>
      </c>
      <c r="B279" t="s">
        <v>2629</v>
      </c>
      <c r="C279">
        <v>8</v>
      </c>
      <c r="D279" t="s">
        <v>120</v>
      </c>
      <c r="E279">
        <v>0</v>
      </c>
      <c r="F279" t="s">
        <v>2628</v>
      </c>
      <c r="G279" t="s">
        <v>229</v>
      </c>
      <c r="H279" t="s">
        <v>228</v>
      </c>
      <c r="M279">
        <v>61</v>
      </c>
      <c r="N279" t="s">
        <v>137</v>
      </c>
      <c r="O279" t="s">
        <v>2627</v>
      </c>
      <c r="P279">
        <v>13176</v>
      </c>
      <c r="Q279">
        <v>10320</v>
      </c>
      <c r="R279" t="s">
        <v>2626</v>
      </c>
      <c r="S279" t="s">
        <v>2625</v>
      </c>
    </row>
    <row r="280" spans="1:19" x14ac:dyDescent="0.2">
      <c r="A280" t="s">
        <v>2624</v>
      </c>
      <c r="B280" t="s">
        <v>2623</v>
      </c>
      <c r="C280">
        <v>12</v>
      </c>
      <c r="D280" t="s">
        <v>120</v>
      </c>
      <c r="E280">
        <v>0</v>
      </c>
      <c r="F280" t="s">
        <v>2622</v>
      </c>
      <c r="G280" t="s">
        <v>229</v>
      </c>
      <c r="H280" t="s">
        <v>228</v>
      </c>
      <c r="M280">
        <v>24</v>
      </c>
      <c r="N280" t="s">
        <v>137</v>
      </c>
      <c r="O280" t="s">
        <v>2621</v>
      </c>
      <c r="P280">
        <v>6090</v>
      </c>
      <c r="Q280">
        <v>3642</v>
      </c>
      <c r="R280" t="s">
        <v>2620</v>
      </c>
      <c r="S280" t="s">
        <v>2619</v>
      </c>
    </row>
    <row r="281" spans="1:19" x14ac:dyDescent="0.2">
      <c r="A281" t="s">
        <v>2618</v>
      </c>
      <c r="B281" t="s">
        <v>2617</v>
      </c>
      <c r="C281">
        <v>20</v>
      </c>
      <c r="D281" t="s">
        <v>363</v>
      </c>
      <c r="E281">
        <v>0</v>
      </c>
      <c r="F281" t="s">
        <v>2616</v>
      </c>
      <c r="G281" t="s">
        <v>118</v>
      </c>
      <c r="H281" t="s">
        <v>117</v>
      </c>
      <c r="I281">
        <v>0.99731057847021698</v>
      </c>
      <c r="J281">
        <v>0.99762313226683696</v>
      </c>
      <c r="K281">
        <v>23</v>
      </c>
      <c r="L281">
        <v>18</v>
      </c>
      <c r="M281">
        <v>499</v>
      </c>
      <c r="N281" t="s">
        <v>2573</v>
      </c>
      <c r="O281" t="s">
        <v>2615</v>
      </c>
      <c r="P281">
        <v>6116</v>
      </c>
      <c r="Q281">
        <v>3659</v>
      </c>
      <c r="R281" t="s">
        <v>2614</v>
      </c>
      <c r="S281" t="s">
        <v>2613</v>
      </c>
    </row>
    <row r="282" spans="1:19" x14ac:dyDescent="0.2">
      <c r="A282" t="s">
        <v>2612</v>
      </c>
      <c r="B282" t="s">
        <v>2611</v>
      </c>
      <c r="C282">
        <v>20</v>
      </c>
      <c r="D282" t="s">
        <v>363</v>
      </c>
      <c r="E282">
        <v>0</v>
      </c>
      <c r="F282" t="s">
        <v>2610</v>
      </c>
      <c r="G282" t="s">
        <v>118</v>
      </c>
      <c r="H282" t="s">
        <v>117</v>
      </c>
      <c r="I282">
        <v>0.99350959900887603</v>
      </c>
      <c r="K282">
        <v>8</v>
      </c>
      <c r="M282">
        <v>499</v>
      </c>
      <c r="N282" t="s">
        <v>2573</v>
      </c>
      <c r="O282" t="s">
        <v>2609</v>
      </c>
      <c r="P282">
        <v>6117</v>
      </c>
      <c r="Q282">
        <v>3660</v>
      </c>
      <c r="R282" t="s">
        <v>2608</v>
      </c>
      <c r="S282" t="s">
        <v>2607</v>
      </c>
    </row>
    <row r="283" spans="1:19" x14ac:dyDescent="0.2">
      <c r="A283" t="s">
        <v>2606</v>
      </c>
      <c r="B283" t="s">
        <v>2605</v>
      </c>
      <c r="C283">
        <v>20</v>
      </c>
      <c r="D283" t="s">
        <v>388</v>
      </c>
      <c r="E283">
        <v>0</v>
      </c>
      <c r="F283" t="s">
        <v>2604</v>
      </c>
      <c r="G283" t="s">
        <v>118</v>
      </c>
      <c r="H283" t="s">
        <v>117</v>
      </c>
      <c r="I283">
        <v>0.78906548981472802</v>
      </c>
      <c r="J283">
        <v>0.94777847032568596</v>
      </c>
      <c r="K283">
        <v>6</v>
      </c>
      <c r="L283">
        <v>21</v>
      </c>
      <c r="M283">
        <v>505</v>
      </c>
      <c r="N283" t="s">
        <v>2573</v>
      </c>
      <c r="O283" t="s">
        <v>2603</v>
      </c>
      <c r="P283">
        <v>6118</v>
      </c>
      <c r="Q283">
        <v>3661</v>
      </c>
      <c r="R283" t="s">
        <v>2602</v>
      </c>
      <c r="S283" t="s">
        <v>2601</v>
      </c>
    </row>
    <row r="284" spans="1:19" x14ac:dyDescent="0.2">
      <c r="A284" t="s">
        <v>2600</v>
      </c>
      <c r="B284" t="s">
        <v>2599</v>
      </c>
      <c r="C284">
        <v>18</v>
      </c>
      <c r="D284" t="s">
        <v>363</v>
      </c>
      <c r="E284">
        <v>0</v>
      </c>
      <c r="F284" t="s">
        <v>2598</v>
      </c>
      <c r="G284" t="s">
        <v>118</v>
      </c>
      <c r="H284" t="s">
        <v>117</v>
      </c>
      <c r="I284">
        <v>0.95122828616510902</v>
      </c>
      <c r="J284">
        <v>0.97673824949347499</v>
      </c>
      <c r="K284">
        <v>19</v>
      </c>
      <c r="L284">
        <v>61</v>
      </c>
      <c r="M284">
        <v>500</v>
      </c>
      <c r="N284" t="s">
        <v>2573</v>
      </c>
      <c r="O284" t="s">
        <v>2597</v>
      </c>
      <c r="P284">
        <v>6119</v>
      </c>
      <c r="Q284">
        <v>3662</v>
      </c>
      <c r="R284" t="s">
        <v>2596</v>
      </c>
      <c r="S284" t="s">
        <v>2595</v>
      </c>
    </row>
    <row r="285" spans="1:19" x14ac:dyDescent="0.2">
      <c r="A285" t="s">
        <v>2594</v>
      </c>
      <c r="B285" t="s">
        <v>2593</v>
      </c>
      <c r="C285">
        <v>20</v>
      </c>
      <c r="D285" t="s">
        <v>111</v>
      </c>
      <c r="E285">
        <v>0</v>
      </c>
      <c r="F285" t="s">
        <v>2592</v>
      </c>
      <c r="G285" t="s">
        <v>229</v>
      </c>
      <c r="H285" t="s">
        <v>228</v>
      </c>
      <c r="M285">
        <v>5</v>
      </c>
      <c r="N285" t="s">
        <v>2573</v>
      </c>
      <c r="O285" t="s">
        <v>2591</v>
      </c>
      <c r="P285">
        <v>6120</v>
      </c>
      <c r="Q285">
        <v>3663</v>
      </c>
      <c r="R285" t="s">
        <v>2590</v>
      </c>
      <c r="S285" t="s">
        <v>2589</v>
      </c>
    </row>
    <row r="286" spans="1:19" x14ac:dyDescent="0.2">
      <c r="A286" t="s">
        <v>2588</v>
      </c>
      <c r="B286" t="s">
        <v>2587</v>
      </c>
      <c r="C286">
        <v>10</v>
      </c>
      <c r="D286" t="s">
        <v>120</v>
      </c>
      <c r="E286">
        <v>0</v>
      </c>
      <c r="F286" t="s">
        <v>2586</v>
      </c>
      <c r="G286" t="s">
        <v>229</v>
      </c>
      <c r="H286" t="s">
        <v>228</v>
      </c>
      <c r="M286">
        <v>40</v>
      </c>
      <c r="N286" t="s">
        <v>2573</v>
      </c>
      <c r="O286" t="s">
        <v>2585</v>
      </c>
      <c r="P286">
        <v>6122</v>
      </c>
      <c r="Q286">
        <v>3665</v>
      </c>
      <c r="R286" t="s">
        <v>2584</v>
      </c>
      <c r="S286" t="s">
        <v>2583</v>
      </c>
    </row>
    <row r="287" spans="1:19" x14ac:dyDescent="0.2">
      <c r="A287" t="s">
        <v>2582</v>
      </c>
      <c r="B287" t="s">
        <v>2581</v>
      </c>
      <c r="C287">
        <v>20</v>
      </c>
      <c r="D287" t="s">
        <v>388</v>
      </c>
      <c r="E287">
        <v>0</v>
      </c>
      <c r="F287" t="s">
        <v>2580</v>
      </c>
      <c r="G287" t="s">
        <v>118</v>
      </c>
      <c r="H287" t="s">
        <v>117</v>
      </c>
      <c r="J287">
        <v>0.99600721487811406</v>
      </c>
      <c r="L287">
        <v>59</v>
      </c>
      <c r="M287">
        <v>505</v>
      </c>
      <c r="N287" t="s">
        <v>2573</v>
      </c>
      <c r="O287" t="s">
        <v>2579</v>
      </c>
      <c r="P287">
        <v>5358</v>
      </c>
      <c r="Q287">
        <v>3394</v>
      </c>
      <c r="R287" t="s">
        <v>2578</v>
      </c>
      <c r="S287" t="s">
        <v>2577</v>
      </c>
    </row>
    <row r="288" spans="1:19" x14ac:dyDescent="0.2">
      <c r="A288" t="s">
        <v>2576</v>
      </c>
      <c r="B288" t="s">
        <v>2575</v>
      </c>
      <c r="C288">
        <v>12</v>
      </c>
      <c r="D288" t="s">
        <v>120</v>
      </c>
      <c r="E288">
        <v>0</v>
      </c>
      <c r="F288" t="s">
        <v>2574</v>
      </c>
      <c r="G288" t="s">
        <v>229</v>
      </c>
      <c r="H288" t="s">
        <v>228</v>
      </c>
      <c r="M288">
        <v>5</v>
      </c>
      <c r="N288" t="s">
        <v>2573</v>
      </c>
      <c r="O288" t="s">
        <v>2572</v>
      </c>
      <c r="P288">
        <v>6131</v>
      </c>
      <c r="Q288">
        <v>10379</v>
      </c>
      <c r="R288" t="s">
        <v>2571</v>
      </c>
      <c r="S288" t="s">
        <v>2570</v>
      </c>
    </row>
    <row r="289" spans="1:19" x14ac:dyDescent="0.2">
      <c r="A289" t="s">
        <v>2569</v>
      </c>
      <c r="B289" t="s">
        <v>2568</v>
      </c>
      <c r="C289">
        <v>19</v>
      </c>
      <c r="D289" t="s">
        <v>111</v>
      </c>
      <c r="E289">
        <v>0</v>
      </c>
      <c r="F289" t="s">
        <v>2567</v>
      </c>
      <c r="G289" t="s">
        <v>109</v>
      </c>
      <c r="H289" t="s">
        <v>108</v>
      </c>
      <c r="M289">
        <v>19310</v>
      </c>
      <c r="N289" t="s">
        <v>796</v>
      </c>
      <c r="O289" t="s">
        <v>2561</v>
      </c>
      <c r="P289">
        <v>14359</v>
      </c>
      <c r="Q289">
        <v>153572</v>
      </c>
      <c r="R289" t="s">
        <v>2566</v>
      </c>
      <c r="S289" t="s">
        <v>2565</v>
      </c>
    </row>
    <row r="290" spans="1:19" x14ac:dyDescent="0.2">
      <c r="A290" t="s">
        <v>2564</v>
      </c>
      <c r="B290" t="s">
        <v>2563</v>
      </c>
      <c r="C290">
        <v>11</v>
      </c>
      <c r="D290" t="s">
        <v>111</v>
      </c>
      <c r="E290">
        <v>0</v>
      </c>
      <c r="F290" t="s">
        <v>2562</v>
      </c>
      <c r="G290" t="s">
        <v>109</v>
      </c>
      <c r="H290" t="s">
        <v>108</v>
      </c>
      <c r="M290">
        <v>383</v>
      </c>
      <c r="N290" t="s">
        <v>796</v>
      </c>
      <c r="O290" t="s">
        <v>2561</v>
      </c>
      <c r="P290">
        <v>14360</v>
      </c>
      <c r="Q290">
        <v>79191</v>
      </c>
      <c r="R290" t="s">
        <v>2560</v>
      </c>
      <c r="S290" t="s">
        <v>2559</v>
      </c>
    </row>
    <row r="291" spans="1:19" x14ac:dyDescent="0.2">
      <c r="A291" t="s">
        <v>2558</v>
      </c>
      <c r="B291" t="s">
        <v>2557</v>
      </c>
      <c r="C291">
        <v>9</v>
      </c>
      <c r="D291" t="s">
        <v>363</v>
      </c>
      <c r="E291">
        <v>0</v>
      </c>
      <c r="F291" t="s">
        <v>2556</v>
      </c>
      <c r="G291" t="s">
        <v>118</v>
      </c>
      <c r="H291" t="s">
        <v>117</v>
      </c>
      <c r="I291">
        <v>0.80520923521403598</v>
      </c>
      <c r="J291">
        <v>0.85803562654372201</v>
      </c>
      <c r="K291">
        <v>3</v>
      </c>
      <c r="L291">
        <v>13</v>
      </c>
      <c r="M291">
        <v>500</v>
      </c>
      <c r="N291" t="s">
        <v>2388</v>
      </c>
      <c r="O291" t="s">
        <v>2550</v>
      </c>
      <c r="P291">
        <v>6132</v>
      </c>
      <c r="Q291">
        <v>3670</v>
      </c>
      <c r="R291" t="s">
        <v>2555</v>
      </c>
      <c r="S291" t="s">
        <v>2554</v>
      </c>
    </row>
    <row r="292" spans="1:19" x14ac:dyDescent="0.2">
      <c r="A292" t="s">
        <v>2553</v>
      </c>
      <c r="B292" t="s">
        <v>2552</v>
      </c>
      <c r="C292">
        <v>11</v>
      </c>
      <c r="D292" t="s">
        <v>111</v>
      </c>
      <c r="E292">
        <v>0</v>
      </c>
      <c r="F292" t="s">
        <v>2551</v>
      </c>
      <c r="G292" t="s">
        <v>109</v>
      </c>
      <c r="H292" t="s">
        <v>108</v>
      </c>
      <c r="M292">
        <v>16988</v>
      </c>
      <c r="N292" t="s">
        <v>2388</v>
      </c>
      <c r="O292" t="s">
        <v>2550</v>
      </c>
      <c r="P292">
        <v>18524</v>
      </c>
      <c r="Q292">
        <v>64843</v>
      </c>
      <c r="R292" t="s">
        <v>2549</v>
      </c>
      <c r="S292" t="s">
        <v>2548</v>
      </c>
    </row>
    <row r="293" spans="1:19" x14ac:dyDescent="0.2">
      <c r="A293" t="s">
        <v>2547</v>
      </c>
      <c r="B293" t="s">
        <v>2546</v>
      </c>
      <c r="C293">
        <v>16</v>
      </c>
      <c r="D293" t="s">
        <v>111</v>
      </c>
      <c r="E293">
        <v>0</v>
      </c>
      <c r="F293" t="s">
        <v>2545</v>
      </c>
      <c r="G293" t="s">
        <v>109</v>
      </c>
      <c r="H293" t="s">
        <v>108</v>
      </c>
      <c r="M293">
        <v>14859</v>
      </c>
      <c r="N293" t="s">
        <v>671</v>
      </c>
      <c r="O293" t="s">
        <v>2544</v>
      </c>
      <c r="P293">
        <v>28084</v>
      </c>
      <c r="Q293">
        <v>91464</v>
      </c>
      <c r="R293" t="s">
        <v>2543</v>
      </c>
      <c r="S293" t="s">
        <v>2542</v>
      </c>
    </row>
    <row r="294" spans="1:19" x14ac:dyDescent="0.2">
      <c r="A294" t="s">
        <v>2541</v>
      </c>
      <c r="B294" t="s">
        <v>2540</v>
      </c>
      <c r="C294">
        <v>10</v>
      </c>
      <c r="D294" t="s">
        <v>120</v>
      </c>
      <c r="E294">
        <v>0</v>
      </c>
      <c r="F294" t="s">
        <v>2539</v>
      </c>
      <c r="G294" t="s">
        <v>118</v>
      </c>
      <c r="H294" t="s">
        <v>117</v>
      </c>
      <c r="I294">
        <v>0.949447582468814</v>
      </c>
      <c r="K294">
        <v>4</v>
      </c>
      <c r="M294">
        <v>499</v>
      </c>
      <c r="N294" t="s">
        <v>819</v>
      </c>
      <c r="O294" t="s">
        <v>2538</v>
      </c>
      <c r="P294">
        <v>11634</v>
      </c>
      <c r="Q294">
        <v>6925</v>
      </c>
      <c r="R294" t="s">
        <v>2537</v>
      </c>
      <c r="S294" t="s">
        <v>2536</v>
      </c>
    </row>
    <row r="295" spans="1:19" x14ac:dyDescent="0.2">
      <c r="A295" t="s">
        <v>2535</v>
      </c>
      <c r="B295" t="s">
        <v>2534</v>
      </c>
      <c r="C295">
        <v>12</v>
      </c>
      <c r="D295" t="s">
        <v>111</v>
      </c>
      <c r="E295">
        <v>0</v>
      </c>
      <c r="F295" t="s">
        <v>2533</v>
      </c>
      <c r="G295" t="s">
        <v>109</v>
      </c>
      <c r="H295" t="s">
        <v>108</v>
      </c>
      <c r="M295">
        <v>2851</v>
      </c>
      <c r="N295" t="s">
        <v>2532</v>
      </c>
      <c r="O295" t="s">
        <v>2531</v>
      </c>
      <c r="P295">
        <v>17546</v>
      </c>
      <c r="Q295">
        <v>122953</v>
      </c>
      <c r="R295" t="s">
        <v>2530</v>
      </c>
      <c r="S295" t="s">
        <v>2529</v>
      </c>
    </row>
    <row r="296" spans="1:19" x14ac:dyDescent="0.2">
      <c r="A296" t="s">
        <v>2528</v>
      </c>
      <c r="B296" t="s">
        <v>2527</v>
      </c>
      <c r="C296">
        <v>11</v>
      </c>
      <c r="D296" t="s">
        <v>363</v>
      </c>
      <c r="E296">
        <v>0</v>
      </c>
      <c r="F296" t="s">
        <v>2526</v>
      </c>
      <c r="G296" t="s">
        <v>118</v>
      </c>
      <c r="H296" t="s">
        <v>117</v>
      </c>
      <c r="I296">
        <v>0.97674843913059395</v>
      </c>
      <c r="J296">
        <v>0.91865791720645595</v>
      </c>
      <c r="K296">
        <v>8</v>
      </c>
      <c r="L296">
        <v>25</v>
      </c>
      <c r="M296">
        <v>500</v>
      </c>
      <c r="N296" t="s">
        <v>2082</v>
      </c>
      <c r="O296" t="s">
        <v>2515</v>
      </c>
      <c r="P296">
        <v>6205</v>
      </c>
      <c r="Q296">
        <v>3726</v>
      </c>
      <c r="R296" t="s">
        <v>2525</v>
      </c>
      <c r="S296" t="s">
        <v>2524</v>
      </c>
    </row>
    <row r="297" spans="1:19" x14ac:dyDescent="0.2">
      <c r="A297" t="s">
        <v>2523</v>
      </c>
      <c r="B297" t="s">
        <v>2522</v>
      </c>
      <c r="C297">
        <v>11</v>
      </c>
      <c r="D297" t="s">
        <v>363</v>
      </c>
      <c r="E297">
        <v>0</v>
      </c>
      <c r="F297" t="s">
        <v>2521</v>
      </c>
      <c r="G297" t="s">
        <v>118</v>
      </c>
      <c r="H297" t="s">
        <v>117</v>
      </c>
      <c r="I297">
        <v>0.99634458873996901</v>
      </c>
      <c r="J297">
        <v>0.98684958710784099</v>
      </c>
      <c r="K297">
        <v>64</v>
      </c>
      <c r="L297">
        <v>21</v>
      </c>
      <c r="M297">
        <v>450</v>
      </c>
      <c r="N297" t="s">
        <v>2082</v>
      </c>
      <c r="O297" t="s">
        <v>2515</v>
      </c>
      <c r="P297">
        <v>6206</v>
      </c>
      <c r="Q297">
        <v>3727</v>
      </c>
      <c r="R297" t="s">
        <v>2520</v>
      </c>
      <c r="S297" t="s">
        <v>2519</v>
      </c>
    </row>
    <row r="298" spans="1:19" x14ac:dyDescent="0.2">
      <c r="A298" t="s">
        <v>2518</v>
      </c>
      <c r="B298" t="s">
        <v>2517</v>
      </c>
      <c r="C298">
        <v>11</v>
      </c>
      <c r="D298" t="s">
        <v>363</v>
      </c>
      <c r="E298">
        <v>0</v>
      </c>
      <c r="F298" t="s">
        <v>2516</v>
      </c>
      <c r="G298" t="s">
        <v>118</v>
      </c>
      <c r="H298" t="s">
        <v>117</v>
      </c>
      <c r="I298">
        <v>0.95391461491566398</v>
      </c>
      <c r="J298">
        <v>0.93480950841431598</v>
      </c>
      <c r="K298">
        <v>56</v>
      </c>
      <c r="L298">
        <v>39</v>
      </c>
      <c r="M298">
        <v>500</v>
      </c>
      <c r="N298" t="s">
        <v>2082</v>
      </c>
      <c r="O298" t="s">
        <v>2515</v>
      </c>
      <c r="P298">
        <v>6204</v>
      </c>
      <c r="Q298">
        <v>3725</v>
      </c>
      <c r="R298" t="s">
        <v>2514</v>
      </c>
      <c r="S298" t="s">
        <v>2513</v>
      </c>
    </row>
    <row r="299" spans="1:19" x14ac:dyDescent="0.2">
      <c r="A299" t="s">
        <v>2512</v>
      </c>
      <c r="B299" t="s">
        <v>2507</v>
      </c>
      <c r="C299">
        <v>15</v>
      </c>
      <c r="D299" t="s">
        <v>363</v>
      </c>
      <c r="E299">
        <v>0</v>
      </c>
      <c r="F299" t="s">
        <v>2511</v>
      </c>
      <c r="G299" t="s">
        <v>118</v>
      </c>
      <c r="H299" t="s">
        <v>117</v>
      </c>
      <c r="I299">
        <v>0.899509780902912</v>
      </c>
      <c r="K299">
        <v>37</v>
      </c>
      <c r="M299">
        <v>498</v>
      </c>
      <c r="N299" t="s">
        <v>194</v>
      </c>
      <c r="O299" t="s">
        <v>2505</v>
      </c>
      <c r="P299">
        <v>16682</v>
      </c>
      <c r="Q299">
        <v>10009</v>
      </c>
      <c r="R299" t="s">
        <v>2504</v>
      </c>
      <c r="S299" t="s">
        <v>2503</v>
      </c>
    </row>
    <row r="300" spans="1:19" x14ac:dyDescent="0.2">
      <c r="A300" t="s">
        <v>2510</v>
      </c>
      <c r="B300" t="s">
        <v>2507</v>
      </c>
      <c r="C300">
        <v>11</v>
      </c>
      <c r="D300" t="s">
        <v>363</v>
      </c>
      <c r="E300">
        <v>1</v>
      </c>
      <c r="F300" t="s">
        <v>2509</v>
      </c>
      <c r="G300" t="s">
        <v>118</v>
      </c>
      <c r="H300" t="s">
        <v>117</v>
      </c>
      <c r="I300">
        <v>0.88839624909912196</v>
      </c>
      <c r="K300">
        <v>37</v>
      </c>
      <c r="M300">
        <v>502</v>
      </c>
      <c r="N300" t="s">
        <v>194</v>
      </c>
      <c r="O300" t="s">
        <v>2505</v>
      </c>
      <c r="P300">
        <v>16682</v>
      </c>
      <c r="Q300">
        <v>10009</v>
      </c>
      <c r="R300" t="s">
        <v>2504</v>
      </c>
      <c r="S300" t="s">
        <v>2503</v>
      </c>
    </row>
    <row r="301" spans="1:19" x14ac:dyDescent="0.2">
      <c r="A301" t="s">
        <v>2508</v>
      </c>
      <c r="B301" t="s">
        <v>2507</v>
      </c>
      <c r="C301">
        <v>12</v>
      </c>
      <c r="D301" t="s">
        <v>363</v>
      </c>
      <c r="E301">
        <v>2</v>
      </c>
      <c r="F301" t="s">
        <v>2506</v>
      </c>
      <c r="G301" t="s">
        <v>229</v>
      </c>
      <c r="H301" t="s">
        <v>228</v>
      </c>
      <c r="I301">
        <v>0.84118975102978699</v>
      </c>
      <c r="K301">
        <v>37</v>
      </c>
      <c r="M301">
        <v>2038</v>
      </c>
      <c r="N301" t="s">
        <v>194</v>
      </c>
      <c r="O301" t="s">
        <v>2505</v>
      </c>
      <c r="P301">
        <v>16682</v>
      </c>
      <c r="Q301">
        <v>10009</v>
      </c>
      <c r="R301" t="s">
        <v>2504</v>
      </c>
      <c r="S301" t="s">
        <v>2503</v>
      </c>
    </row>
    <row r="302" spans="1:19" x14ac:dyDescent="0.2">
      <c r="A302" t="s">
        <v>2502</v>
      </c>
      <c r="B302" t="s">
        <v>2501</v>
      </c>
      <c r="C302">
        <v>11</v>
      </c>
      <c r="D302" t="s">
        <v>120</v>
      </c>
      <c r="E302">
        <v>0</v>
      </c>
      <c r="F302" t="s">
        <v>2500</v>
      </c>
      <c r="G302" t="s">
        <v>118</v>
      </c>
      <c r="H302" t="s">
        <v>117</v>
      </c>
      <c r="I302">
        <v>0.80800962669129595</v>
      </c>
      <c r="K302">
        <v>3</v>
      </c>
      <c r="M302">
        <v>452</v>
      </c>
      <c r="N302" t="s">
        <v>1101</v>
      </c>
      <c r="O302" t="s">
        <v>2444</v>
      </c>
      <c r="P302">
        <v>6346</v>
      </c>
      <c r="Q302">
        <v>11278</v>
      </c>
      <c r="R302" t="s">
        <v>2499</v>
      </c>
      <c r="S302" t="s">
        <v>2498</v>
      </c>
    </row>
    <row r="303" spans="1:19" x14ac:dyDescent="0.2">
      <c r="A303" t="s">
        <v>2497</v>
      </c>
      <c r="B303" t="s">
        <v>2496</v>
      </c>
      <c r="C303">
        <v>11</v>
      </c>
      <c r="D303" t="s">
        <v>111</v>
      </c>
      <c r="E303">
        <v>0</v>
      </c>
      <c r="F303" t="s">
        <v>2495</v>
      </c>
      <c r="G303" t="s">
        <v>109</v>
      </c>
      <c r="H303" t="s">
        <v>108</v>
      </c>
      <c r="M303">
        <v>7671</v>
      </c>
      <c r="N303" t="s">
        <v>1101</v>
      </c>
      <c r="O303" t="s">
        <v>2444</v>
      </c>
      <c r="P303">
        <v>13672</v>
      </c>
      <c r="Q303">
        <v>51621</v>
      </c>
      <c r="R303" t="s">
        <v>2494</v>
      </c>
      <c r="S303" t="s">
        <v>2493</v>
      </c>
    </row>
    <row r="304" spans="1:19" x14ac:dyDescent="0.2">
      <c r="A304" t="s">
        <v>2492</v>
      </c>
      <c r="B304" t="s">
        <v>2491</v>
      </c>
      <c r="C304">
        <v>13</v>
      </c>
      <c r="D304" t="s">
        <v>111</v>
      </c>
      <c r="E304">
        <v>0</v>
      </c>
      <c r="F304" t="s">
        <v>2490</v>
      </c>
      <c r="G304" t="s">
        <v>109</v>
      </c>
      <c r="H304" t="s">
        <v>108</v>
      </c>
      <c r="M304">
        <v>2224</v>
      </c>
      <c r="N304" t="s">
        <v>1101</v>
      </c>
      <c r="O304" t="s">
        <v>2444</v>
      </c>
      <c r="P304">
        <v>23025</v>
      </c>
      <c r="R304" t="s">
        <v>2489</v>
      </c>
      <c r="S304" t="s">
        <v>2488</v>
      </c>
    </row>
    <row r="305" spans="1:19" x14ac:dyDescent="0.2">
      <c r="A305" t="s">
        <v>2487</v>
      </c>
      <c r="B305" t="s">
        <v>2486</v>
      </c>
      <c r="C305">
        <v>19</v>
      </c>
      <c r="D305" t="s">
        <v>363</v>
      </c>
      <c r="E305">
        <v>0</v>
      </c>
      <c r="F305" t="s">
        <v>2485</v>
      </c>
      <c r="G305" t="s">
        <v>118</v>
      </c>
      <c r="H305" t="s">
        <v>117</v>
      </c>
      <c r="I305">
        <v>0.95180965743238199</v>
      </c>
      <c r="J305">
        <v>0.99831685498911704</v>
      </c>
      <c r="K305">
        <v>4</v>
      </c>
      <c r="L305">
        <v>3</v>
      </c>
      <c r="M305">
        <v>481</v>
      </c>
      <c r="N305" t="s">
        <v>1101</v>
      </c>
      <c r="O305" t="s">
        <v>2444</v>
      </c>
      <c r="P305">
        <v>14536</v>
      </c>
      <c r="Q305">
        <v>28999</v>
      </c>
      <c r="R305" t="s">
        <v>2484</v>
      </c>
      <c r="S305" t="s">
        <v>2483</v>
      </c>
    </row>
    <row r="306" spans="1:19" x14ac:dyDescent="0.2">
      <c r="A306" t="s">
        <v>2482</v>
      </c>
      <c r="B306" t="s">
        <v>2481</v>
      </c>
      <c r="C306">
        <v>19</v>
      </c>
      <c r="D306" t="s">
        <v>111</v>
      </c>
      <c r="E306">
        <v>0</v>
      </c>
      <c r="F306" t="s">
        <v>2480</v>
      </c>
      <c r="G306" t="s">
        <v>109</v>
      </c>
      <c r="H306" t="s">
        <v>108</v>
      </c>
      <c r="M306">
        <v>650</v>
      </c>
      <c r="N306" t="s">
        <v>1101</v>
      </c>
      <c r="O306" t="s">
        <v>2444</v>
      </c>
      <c r="P306">
        <v>16857</v>
      </c>
      <c r="Q306">
        <v>83855</v>
      </c>
      <c r="R306" t="s">
        <v>2479</v>
      </c>
      <c r="S306" t="s">
        <v>2478</v>
      </c>
    </row>
    <row r="307" spans="1:19" x14ac:dyDescent="0.2">
      <c r="A307" t="s">
        <v>2477</v>
      </c>
      <c r="B307" t="s">
        <v>2476</v>
      </c>
      <c r="C307">
        <v>14</v>
      </c>
      <c r="D307" t="s">
        <v>363</v>
      </c>
      <c r="E307">
        <v>0</v>
      </c>
      <c r="F307" t="s">
        <v>2475</v>
      </c>
      <c r="G307" t="s">
        <v>118</v>
      </c>
      <c r="H307" t="s">
        <v>117</v>
      </c>
      <c r="I307">
        <v>0.94417193197756</v>
      </c>
      <c r="J307">
        <v>0.97283390554998705</v>
      </c>
      <c r="K307">
        <v>5</v>
      </c>
      <c r="L307">
        <v>6</v>
      </c>
      <c r="M307">
        <v>492</v>
      </c>
      <c r="N307" t="s">
        <v>1101</v>
      </c>
      <c r="O307" t="s">
        <v>2444</v>
      </c>
      <c r="P307">
        <v>6345</v>
      </c>
      <c r="Q307">
        <v>10661</v>
      </c>
      <c r="R307" t="s">
        <v>2474</v>
      </c>
      <c r="S307" t="s">
        <v>2473</v>
      </c>
    </row>
    <row r="308" spans="1:19" x14ac:dyDescent="0.2">
      <c r="A308" t="s">
        <v>2472</v>
      </c>
      <c r="B308" t="s">
        <v>2471</v>
      </c>
      <c r="C308">
        <v>19</v>
      </c>
      <c r="D308" t="s">
        <v>388</v>
      </c>
      <c r="E308">
        <v>0</v>
      </c>
      <c r="F308" t="s">
        <v>2470</v>
      </c>
      <c r="G308" t="s">
        <v>118</v>
      </c>
      <c r="H308" t="s">
        <v>117</v>
      </c>
      <c r="I308">
        <v>0.76024161433213</v>
      </c>
      <c r="J308">
        <v>0.99249640160276098</v>
      </c>
      <c r="K308">
        <v>2</v>
      </c>
      <c r="L308">
        <v>7</v>
      </c>
      <c r="M308">
        <v>498</v>
      </c>
      <c r="N308" t="s">
        <v>1101</v>
      </c>
      <c r="O308" t="s">
        <v>2444</v>
      </c>
      <c r="P308">
        <v>16516</v>
      </c>
      <c r="Q308">
        <v>51274</v>
      </c>
      <c r="R308" t="s">
        <v>2469</v>
      </c>
      <c r="S308" t="s">
        <v>2468</v>
      </c>
    </row>
    <row r="309" spans="1:19" x14ac:dyDescent="0.2">
      <c r="A309" t="s">
        <v>2467</v>
      </c>
      <c r="B309" t="s">
        <v>2466</v>
      </c>
      <c r="C309">
        <v>10</v>
      </c>
      <c r="D309" t="s">
        <v>363</v>
      </c>
      <c r="E309">
        <v>0</v>
      </c>
      <c r="F309" t="s">
        <v>2465</v>
      </c>
      <c r="G309" t="s">
        <v>118</v>
      </c>
      <c r="H309" t="s">
        <v>117</v>
      </c>
      <c r="I309">
        <v>0.88837374068965103</v>
      </c>
      <c r="J309">
        <v>0.98292669225628304</v>
      </c>
      <c r="K309">
        <v>11</v>
      </c>
      <c r="L309">
        <v>34</v>
      </c>
      <c r="M309">
        <v>500</v>
      </c>
      <c r="N309" t="s">
        <v>1101</v>
      </c>
      <c r="O309" t="s">
        <v>2444</v>
      </c>
      <c r="P309">
        <v>6348</v>
      </c>
      <c r="Q309">
        <v>9314</v>
      </c>
      <c r="R309" t="s">
        <v>2464</v>
      </c>
      <c r="S309" t="s">
        <v>2463</v>
      </c>
    </row>
    <row r="310" spans="1:19" x14ac:dyDescent="0.2">
      <c r="A310" t="s">
        <v>2462</v>
      </c>
      <c r="B310" t="s">
        <v>2461</v>
      </c>
      <c r="C310">
        <v>14</v>
      </c>
      <c r="D310" t="s">
        <v>363</v>
      </c>
      <c r="E310">
        <v>0</v>
      </c>
      <c r="F310" t="s">
        <v>2460</v>
      </c>
      <c r="G310" t="s">
        <v>118</v>
      </c>
      <c r="H310" t="s">
        <v>117</v>
      </c>
      <c r="I310">
        <v>0.96874062956795604</v>
      </c>
      <c r="J310">
        <v>0.97372664647374996</v>
      </c>
      <c r="K310">
        <v>32</v>
      </c>
      <c r="L310">
        <v>23</v>
      </c>
      <c r="M310">
        <v>502</v>
      </c>
      <c r="N310" t="s">
        <v>1101</v>
      </c>
      <c r="O310" t="s">
        <v>2444</v>
      </c>
      <c r="P310">
        <v>6349</v>
      </c>
      <c r="Q310">
        <v>688</v>
      </c>
      <c r="R310" t="s">
        <v>2459</v>
      </c>
      <c r="S310" t="s">
        <v>2458</v>
      </c>
    </row>
    <row r="311" spans="1:19" x14ac:dyDescent="0.2">
      <c r="A311" t="s">
        <v>2457</v>
      </c>
      <c r="B311" t="s">
        <v>2456</v>
      </c>
      <c r="C311">
        <v>19</v>
      </c>
      <c r="D311" t="s">
        <v>363</v>
      </c>
      <c r="E311">
        <v>0</v>
      </c>
      <c r="F311" t="s">
        <v>2455</v>
      </c>
      <c r="G311" t="s">
        <v>118</v>
      </c>
      <c r="H311" t="s">
        <v>117</v>
      </c>
      <c r="I311">
        <v>0.94644958315156102</v>
      </c>
      <c r="J311">
        <v>0.60407481679785902</v>
      </c>
      <c r="K311">
        <v>16</v>
      </c>
      <c r="L311">
        <v>2</v>
      </c>
      <c r="M311">
        <v>498</v>
      </c>
      <c r="N311" t="s">
        <v>1101</v>
      </c>
      <c r="O311" t="s">
        <v>2444</v>
      </c>
      <c r="P311">
        <v>2235</v>
      </c>
      <c r="Q311">
        <v>1316</v>
      </c>
      <c r="R311" t="s">
        <v>2454</v>
      </c>
      <c r="S311" t="s">
        <v>2453</v>
      </c>
    </row>
    <row r="312" spans="1:19" x14ac:dyDescent="0.2">
      <c r="A312" t="s">
        <v>2452</v>
      </c>
      <c r="B312" t="s">
        <v>2451</v>
      </c>
      <c r="C312">
        <v>9</v>
      </c>
      <c r="D312" t="s">
        <v>120</v>
      </c>
      <c r="E312">
        <v>0</v>
      </c>
      <c r="F312" t="s">
        <v>2450</v>
      </c>
      <c r="G312" t="s">
        <v>229</v>
      </c>
      <c r="H312" t="s">
        <v>228</v>
      </c>
      <c r="M312">
        <v>5</v>
      </c>
      <c r="N312" t="s">
        <v>1101</v>
      </c>
      <c r="O312" t="s">
        <v>2444</v>
      </c>
      <c r="P312">
        <v>6351</v>
      </c>
      <c r="Q312">
        <v>11279</v>
      </c>
      <c r="R312" t="s">
        <v>2449</v>
      </c>
      <c r="S312" t="s">
        <v>2448</v>
      </c>
    </row>
    <row r="313" spans="1:19" x14ac:dyDescent="0.2">
      <c r="A313" t="s">
        <v>2447</v>
      </c>
      <c r="B313" t="s">
        <v>2446</v>
      </c>
      <c r="C313">
        <v>15</v>
      </c>
      <c r="D313" t="s">
        <v>120</v>
      </c>
      <c r="E313">
        <v>0</v>
      </c>
      <c r="F313" t="s">
        <v>2445</v>
      </c>
      <c r="G313" t="s">
        <v>118</v>
      </c>
      <c r="H313" t="s">
        <v>117</v>
      </c>
      <c r="I313">
        <v>0.95361245642953196</v>
      </c>
      <c r="K313">
        <v>3</v>
      </c>
      <c r="M313">
        <v>256</v>
      </c>
      <c r="N313" t="s">
        <v>1101</v>
      </c>
      <c r="O313" t="s">
        <v>2444</v>
      </c>
      <c r="P313">
        <v>1123</v>
      </c>
      <c r="Q313">
        <v>687</v>
      </c>
      <c r="R313" t="s">
        <v>2443</v>
      </c>
      <c r="S313" t="s">
        <v>2442</v>
      </c>
    </row>
    <row r="314" spans="1:19" x14ac:dyDescent="0.2">
      <c r="A314" t="s">
        <v>2441</v>
      </c>
      <c r="B314" t="s">
        <v>2440</v>
      </c>
      <c r="C314">
        <v>11</v>
      </c>
      <c r="D314" t="s">
        <v>111</v>
      </c>
      <c r="E314">
        <v>0</v>
      </c>
      <c r="F314" t="s">
        <v>2439</v>
      </c>
      <c r="G314" t="s">
        <v>109</v>
      </c>
      <c r="H314" t="s">
        <v>108</v>
      </c>
      <c r="M314">
        <v>1425</v>
      </c>
      <c r="N314" t="s">
        <v>691</v>
      </c>
      <c r="O314" t="s">
        <v>2438</v>
      </c>
      <c r="P314">
        <v>15525</v>
      </c>
      <c r="Q314">
        <v>85474</v>
      </c>
      <c r="R314" t="s">
        <v>2437</v>
      </c>
      <c r="S314" t="s">
        <v>2436</v>
      </c>
    </row>
    <row r="315" spans="1:19" x14ac:dyDescent="0.2">
      <c r="A315" t="s">
        <v>2435</v>
      </c>
      <c r="B315" t="s">
        <v>2434</v>
      </c>
      <c r="C315">
        <v>14</v>
      </c>
      <c r="D315" t="s">
        <v>363</v>
      </c>
      <c r="E315">
        <v>0</v>
      </c>
      <c r="F315" t="s">
        <v>2433</v>
      </c>
      <c r="G315" t="s">
        <v>118</v>
      </c>
      <c r="H315" t="s">
        <v>117</v>
      </c>
      <c r="I315">
        <v>0.87607492175588497</v>
      </c>
      <c r="K315">
        <v>20</v>
      </c>
      <c r="M315">
        <v>456</v>
      </c>
      <c r="N315" t="s">
        <v>845</v>
      </c>
      <c r="O315" t="s">
        <v>2432</v>
      </c>
      <c r="P315">
        <v>6551</v>
      </c>
      <c r="Q315">
        <v>51176</v>
      </c>
      <c r="R315" t="s">
        <v>2431</v>
      </c>
      <c r="S315" t="s">
        <v>2430</v>
      </c>
    </row>
    <row r="316" spans="1:19" x14ac:dyDescent="0.2">
      <c r="A316" t="s">
        <v>2429</v>
      </c>
      <c r="B316" t="s">
        <v>2428</v>
      </c>
      <c r="C316">
        <v>12</v>
      </c>
      <c r="D316" t="s">
        <v>363</v>
      </c>
      <c r="E316">
        <v>0</v>
      </c>
      <c r="F316" t="s">
        <v>2427</v>
      </c>
      <c r="G316" t="s">
        <v>118</v>
      </c>
      <c r="H316" t="s">
        <v>117</v>
      </c>
      <c r="I316">
        <v>0.82583270498862904</v>
      </c>
      <c r="J316">
        <v>0.93069411134005897</v>
      </c>
      <c r="K316">
        <v>5</v>
      </c>
      <c r="L316">
        <v>12</v>
      </c>
      <c r="M316">
        <v>430</v>
      </c>
      <c r="N316" t="s">
        <v>2388</v>
      </c>
      <c r="O316" t="s">
        <v>2399</v>
      </c>
      <c r="P316">
        <v>6594</v>
      </c>
      <c r="Q316">
        <v>9355</v>
      </c>
      <c r="R316" t="s">
        <v>2426</v>
      </c>
      <c r="S316" t="s">
        <v>2425</v>
      </c>
    </row>
    <row r="317" spans="1:19" x14ac:dyDescent="0.2">
      <c r="A317" t="s">
        <v>2424</v>
      </c>
      <c r="B317" t="s">
        <v>2423</v>
      </c>
      <c r="C317">
        <v>13</v>
      </c>
      <c r="D317" t="s">
        <v>120</v>
      </c>
      <c r="E317">
        <v>0</v>
      </c>
      <c r="F317" t="s">
        <v>2422</v>
      </c>
      <c r="G317" t="s">
        <v>229</v>
      </c>
      <c r="H317" t="s">
        <v>228</v>
      </c>
      <c r="M317">
        <v>72</v>
      </c>
      <c r="N317" t="s">
        <v>2388</v>
      </c>
      <c r="O317" t="s">
        <v>2416</v>
      </c>
      <c r="P317">
        <v>6595</v>
      </c>
      <c r="Q317">
        <v>8022</v>
      </c>
      <c r="R317" t="s">
        <v>2421</v>
      </c>
      <c r="S317" t="s">
        <v>2420</v>
      </c>
    </row>
    <row r="318" spans="1:19" x14ac:dyDescent="0.2">
      <c r="A318" t="s">
        <v>2419</v>
      </c>
      <c r="B318" t="s">
        <v>2418</v>
      </c>
      <c r="C318">
        <v>11</v>
      </c>
      <c r="D318" t="s">
        <v>111</v>
      </c>
      <c r="E318">
        <v>0</v>
      </c>
      <c r="F318" t="s">
        <v>2417</v>
      </c>
      <c r="G318" t="s">
        <v>109</v>
      </c>
      <c r="H318" t="s">
        <v>108</v>
      </c>
      <c r="M318">
        <v>1423</v>
      </c>
      <c r="N318" t="s">
        <v>2388</v>
      </c>
      <c r="O318" t="s">
        <v>2416</v>
      </c>
      <c r="P318">
        <v>21734</v>
      </c>
      <c r="Q318">
        <v>89884</v>
      </c>
      <c r="R318" t="s">
        <v>2415</v>
      </c>
      <c r="S318" t="s">
        <v>2414</v>
      </c>
    </row>
    <row r="319" spans="1:19" x14ac:dyDescent="0.2">
      <c r="A319" t="s">
        <v>2413</v>
      </c>
      <c r="B319" t="s">
        <v>2412</v>
      </c>
      <c r="C319">
        <v>10</v>
      </c>
      <c r="D319" t="s">
        <v>111</v>
      </c>
      <c r="E319">
        <v>0</v>
      </c>
      <c r="F319" t="s">
        <v>2411</v>
      </c>
      <c r="G319" t="s">
        <v>118</v>
      </c>
      <c r="H319" t="s">
        <v>117</v>
      </c>
      <c r="I319">
        <v>0.56662645604040296</v>
      </c>
      <c r="J319">
        <v>0.94953388078113798</v>
      </c>
      <c r="K319">
        <v>1</v>
      </c>
      <c r="L319">
        <v>2</v>
      </c>
      <c r="M319">
        <v>444</v>
      </c>
      <c r="N319" t="s">
        <v>2388</v>
      </c>
      <c r="O319" t="s">
        <v>2405</v>
      </c>
      <c r="P319">
        <v>21735</v>
      </c>
      <c r="Q319">
        <v>26468</v>
      </c>
      <c r="R319" t="s">
        <v>2410</v>
      </c>
      <c r="S319" t="s">
        <v>2409</v>
      </c>
    </row>
    <row r="320" spans="1:19" x14ac:dyDescent="0.2">
      <c r="A320" t="s">
        <v>2408</v>
      </c>
      <c r="B320" t="s">
        <v>2407</v>
      </c>
      <c r="C320">
        <v>18</v>
      </c>
      <c r="D320" t="s">
        <v>111</v>
      </c>
      <c r="E320">
        <v>0</v>
      </c>
      <c r="F320" t="s">
        <v>2406</v>
      </c>
      <c r="G320" t="s">
        <v>109</v>
      </c>
      <c r="H320" t="s">
        <v>108</v>
      </c>
      <c r="M320">
        <v>9063</v>
      </c>
      <c r="N320" t="s">
        <v>2388</v>
      </c>
      <c r="O320" t="s">
        <v>2405</v>
      </c>
      <c r="P320">
        <v>28838</v>
      </c>
      <c r="Q320">
        <v>431707</v>
      </c>
      <c r="R320" t="s">
        <v>2404</v>
      </c>
      <c r="S320" t="s">
        <v>2403</v>
      </c>
    </row>
    <row r="321" spans="1:19" x14ac:dyDescent="0.2">
      <c r="A321" t="s">
        <v>2402</v>
      </c>
      <c r="B321" t="s">
        <v>2401</v>
      </c>
      <c r="C321">
        <v>18</v>
      </c>
      <c r="D321" t="s">
        <v>111</v>
      </c>
      <c r="E321">
        <v>0</v>
      </c>
      <c r="F321" t="s">
        <v>2400</v>
      </c>
      <c r="G321" t="s">
        <v>109</v>
      </c>
      <c r="H321" t="s">
        <v>108</v>
      </c>
      <c r="M321">
        <v>4409</v>
      </c>
      <c r="N321" t="s">
        <v>2388</v>
      </c>
      <c r="O321" t="s">
        <v>2399</v>
      </c>
      <c r="P321">
        <v>14222</v>
      </c>
      <c r="Q321">
        <v>56956</v>
      </c>
      <c r="R321" t="s">
        <v>2398</v>
      </c>
      <c r="S321" t="s">
        <v>2397</v>
      </c>
    </row>
    <row r="322" spans="1:19" x14ac:dyDescent="0.2">
      <c r="A322" t="s">
        <v>2396</v>
      </c>
      <c r="B322" t="s">
        <v>2395</v>
      </c>
      <c r="C322">
        <v>19</v>
      </c>
      <c r="D322" t="s">
        <v>111</v>
      </c>
      <c r="E322">
        <v>0</v>
      </c>
      <c r="F322" t="s">
        <v>2394</v>
      </c>
      <c r="G322" t="s">
        <v>109</v>
      </c>
      <c r="H322" t="s">
        <v>108</v>
      </c>
      <c r="M322">
        <v>23</v>
      </c>
      <c r="N322" t="s">
        <v>2388</v>
      </c>
      <c r="O322" t="s">
        <v>2387</v>
      </c>
      <c r="P322">
        <v>6653</v>
      </c>
      <c r="Q322">
        <v>4009</v>
      </c>
      <c r="R322" t="s">
        <v>2393</v>
      </c>
      <c r="S322" t="s">
        <v>2392</v>
      </c>
    </row>
    <row r="323" spans="1:19" x14ac:dyDescent="0.2">
      <c r="A323" t="s">
        <v>2391</v>
      </c>
      <c r="B323" t="s">
        <v>2390</v>
      </c>
      <c r="C323">
        <v>18</v>
      </c>
      <c r="D323" t="s">
        <v>111</v>
      </c>
      <c r="E323">
        <v>0</v>
      </c>
      <c r="F323" t="s">
        <v>2389</v>
      </c>
      <c r="G323" t="s">
        <v>109</v>
      </c>
      <c r="H323" t="s">
        <v>108</v>
      </c>
      <c r="M323">
        <v>35</v>
      </c>
      <c r="N323" t="s">
        <v>2388</v>
      </c>
      <c r="O323" t="s">
        <v>2387</v>
      </c>
      <c r="P323">
        <v>6654</v>
      </c>
      <c r="Q323">
        <v>4010</v>
      </c>
      <c r="R323" t="s">
        <v>2386</v>
      </c>
      <c r="S323" t="s">
        <v>2385</v>
      </c>
    </row>
    <row r="324" spans="1:19" x14ac:dyDescent="0.2">
      <c r="A324" t="s">
        <v>2384</v>
      </c>
      <c r="B324" t="s">
        <v>2383</v>
      </c>
      <c r="C324">
        <v>14</v>
      </c>
      <c r="D324" t="s">
        <v>363</v>
      </c>
      <c r="E324">
        <v>0</v>
      </c>
      <c r="F324" t="s">
        <v>2382</v>
      </c>
      <c r="G324" t="s">
        <v>118</v>
      </c>
      <c r="H324" t="s">
        <v>117</v>
      </c>
      <c r="I324">
        <v>0.85228368619721795</v>
      </c>
      <c r="J324">
        <v>0.80788484576137598</v>
      </c>
      <c r="K324">
        <v>23</v>
      </c>
      <c r="L324">
        <v>3</v>
      </c>
      <c r="M324">
        <v>453</v>
      </c>
      <c r="N324" t="s">
        <v>753</v>
      </c>
      <c r="O324" t="s">
        <v>976</v>
      </c>
      <c r="P324">
        <v>6734</v>
      </c>
      <c r="Q324">
        <v>4066</v>
      </c>
      <c r="R324" t="s">
        <v>2381</v>
      </c>
      <c r="S324" t="s">
        <v>2380</v>
      </c>
    </row>
    <row r="325" spans="1:19" x14ac:dyDescent="0.2">
      <c r="A325" t="s">
        <v>2379</v>
      </c>
      <c r="B325" t="s">
        <v>2378</v>
      </c>
      <c r="C325">
        <v>21</v>
      </c>
      <c r="D325" t="s">
        <v>111</v>
      </c>
      <c r="E325">
        <v>0</v>
      </c>
      <c r="F325" t="s">
        <v>2377</v>
      </c>
      <c r="G325" t="s">
        <v>229</v>
      </c>
      <c r="H325" t="s">
        <v>228</v>
      </c>
      <c r="M325">
        <v>27</v>
      </c>
      <c r="N325" t="s">
        <v>1834</v>
      </c>
      <c r="O325" t="s">
        <v>1833</v>
      </c>
      <c r="P325">
        <v>23145</v>
      </c>
      <c r="Q325">
        <v>389692</v>
      </c>
      <c r="R325" t="s">
        <v>2376</v>
      </c>
      <c r="S325" t="s">
        <v>2375</v>
      </c>
    </row>
    <row r="326" spans="1:19" x14ac:dyDescent="0.2">
      <c r="A326" t="s">
        <v>2374</v>
      </c>
      <c r="B326" t="s">
        <v>2373</v>
      </c>
      <c r="C326">
        <v>11</v>
      </c>
      <c r="D326" t="s">
        <v>388</v>
      </c>
      <c r="E326">
        <v>0</v>
      </c>
      <c r="F326" t="s">
        <v>2372</v>
      </c>
      <c r="G326" t="s">
        <v>118</v>
      </c>
      <c r="H326" t="s">
        <v>117</v>
      </c>
      <c r="I326">
        <v>0.70496743157469399</v>
      </c>
      <c r="J326">
        <v>0.95259319518769203</v>
      </c>
      <c r="K326">
        <v>5</v>
      </c>
      <c r="L326">
        <v>3</v>
      </c>
      <c r="M326">
        <v>474</v>
      </c>
      <c r="N326" t="s">
        <v>1834</v>
      </c>
      <c r="O326" t="s">
        <v>1833</v>
      </c>
      <c r="P326">
        <v>6408</v>
      </c>
      <c r="Q326">
        <v>9935</v>
      </c>
      <c r="R326" t="s">
        <v>2371</v>
      </c>
      <c r="S326" t="s">
        <v>2370</v>
      </c>
    </row>
    <row r="327" spans="1:19" x14ac:dyDescent="0.2">
      <c r="A327" t="s">
        <v>2369</v>
      </c>
      <c r="B327" t="s">
        <v>2366</v>
      </c>
      <c r="C327">
        <v>18</v>
      </c>
      <c r="D327" t="s">
        <v>388</v>
      </c>
      <c r="E327">
        <v>0</v>
      </c>
      <c r="F327" t="s">
        <v>2368</v>
      </c>
      <c r="G327" t="s">
        <v>118</v>
      </c>
      <c r="H327" t="s">
        <v>117</v>
      </c>
      <c r="I327">
        <v>0.54447836213752199</v>
      </c>
      <c r="J327">
        <v>0.94545694280034598</v>
      </c>
      <c r="K327">
        <v>2</v>
      </c>
      <c r="L327">
        <v>15</v>
      </c>
      <c r="M327">
        <v>473</v>
      </c>
      <c r="N327" t="s">
        <v>1834</v>
      </c>
      <c r="O327" t="s">
        <v>2350</v>
      </c>
      <c r="P327">
        <v>6780</v>
      </c>
      <c r="Q327">
        <v>23764</v>
      </c>
      <c r="R327" t="s">
        <v>2364</v>
      </c>
      <c r="S327" t="s">
        <v>2363</v>
      </c>
    </row>
    <row r="328" spans="1:19" x14ac:dyDescent="0.2">
      <c r="A328" t="s">
        <v>2367</v>
      </c>
      <c r="B328" t="s">
        <v>2366</v>
      </c>
      <c r="C328">
        <v>9</v>
      </c>
      <c r="D328" t="s">
        <v>388</v>
      </c>
      <c r="E328">
        <v>1</v>
      </c>
      <c r="F328" t="s">
        <v>2365</v>
      </c>
      <c r="G328" t="s">
        <v>118</v>
      </c>
      <c r="H328" t="s">
        <v>117</v>
      </c>
      <c r="I328">
        <v>0.55961776478157998</v>
      </c>
      <c r="J328">
        <v>0.93995821838518501</v>
      </c>
      <c r="K328">
        <v>2</v>
      </c>
      <c r="L328">
        <v>15</v>
      </c>
      <c r="M328">
        <v>497</v>
      </c>
      <c r="N328" t="s">
        <v>1834</v>
      </c>
      <c r="O328" t="s">
        <v>2350</v>
      </c>
      <c r="P328">
        <v>6780</v>
      </c>
      <c r="Q328">
        <v>23764</v>
      </c>
      <c r="R328" t="s">
        <v>2364</v>
      </c>
      <c r="S328" t="s">
        <v>2363</v>
      </c>
    </row>
    <row r="329" spans="1:19" x14ac:dyDescent="0.2">
      <c r="A329" t="s">
        <v>2362</v>
      </c>
      <c r="B329" t="s">
        <v>2359</v>
      </c>
      <c r="C329">
        <v>18</v>
      </c>
      <c r="D329" t="s">
        <v>363</v>
      </c>
      <c r="E329">
        <v>0</v>
      </c>
      <c r="F329" t="s">
        <v>2361</v>
      </c>
      <c r="G329" t="s">
        <v>118</v>
      </c>
      <c r="H329" t="s">
        <v>117</v>
      </c>
      <c r="I329">
        <v>0.86902795592288196</v>
      </c>
      <c r="J329">
        <v>0.99750657248463603</v>
      </c>
      <c r="K329">
        <v>3</v>
      </c>
      <c r="L329">
        <v>6</v>
      </c>
      <c r="M329">
        <v>430</v>
      </c>
      <c r="N329" t="s">
        <v>1834</v>
      </c>
      <c r="O329" t="s">
        <v>2350</v>
      </c>
      <c r="P329">
        <v>6781</v>
      </c>
      <c r="Q329">
        <v>4097</v>
      </c>
      <c r="R329" t="s">
        <v>2357</v>
      </c>
      <c r="S329" t="s">
        <v>2356</v>
      </c>
    </row>
    <row r="330" spans="1:19" x14ac:dyDescent="0.2">
      <c r="A330" t="s">
        <v>2360</v>
      </c>
      <c r="B330" t="s">
        <v>2359</v>
      </c>
      <c r="C330">
        <v>8</v>
      </c>
      <c r="D330" t="s">
        <v>363</v>
      </c>
      <c r="E330">
        <v>1</v>
      </c>
      <c r="F330" t="s">
        <v>2358</v>
      </c>
      <c r="G330" t="s">
        <v>118</v>
      </c>
      <c r="H330" t="s">
        <v>117</v>
      </c>
      <c r="I330">
        <v>0.87397325753394195</v>
      </c>
      <c r="J330">
        <v>0.98937545149834205</v>
      </c>
      <c r="K330">
        <v>3</v>
      </c>
      <c r="L330">
        <v>6</v>
      </c>
      <c r="M330">
        <v>500</v>
      </c>
      <c r="N330" t="s">
        <v>1834</v>
      </c>
      <c r="O330" t="s">
        <v>2350</v>
      </c>
      <c r="P330">
        <v>6781</v>
      </c>
      <c r="Q330">
        <v>4097</v>
      </c>
      <c r="R330" t="s">
        <v>2357</v>
      </c>
      <c r="S330" t="s">
        <v>2356</v>
      </c>
    </row>
    <row r="331" spans="1:19" x14ac:dyDescent="0.2">
      <c r="A331" t="s">
        <v>2355</v>
      </c>
      <c r="B331" t="s">
        <v>2352</v>
      </c>
      <c r="C331">
        <v>18</v>
      </c>
      <c r="D331" t="s">
        <v>363</v>
      </c>
      <c r="E331">
        <v>0</v>
      </c>
      <c r="F331" t="s">
        <v>2354</v>
      </c>
      <c r="G331" t="s">
        <v>118</v>
      </c>
      <c r="H331" t="s">
        <v>117</v>
      </c>
      <c r="I331">
        <v>0.98627771974165102</v>
      </c>
      <c r="J331">
        <v>0.98334177483343199</v>
      </c>
      <c r="K331">
        <v>12</v>
      </c>
      <c r="L331">
        <v>11</v>
      </c>
      <c r="M331">
        <v>431</v>
      </c>
      <c r="N331" t="s">
        <v>1834</v>
      </c>
      <c r="O331" t="s">
        <v>2350</v>
      </c>
      <c r="P331">
        <v>6782</v>
      </c>
      <c r="Q331">
        <v>7975</v>
      </c>
      <c r="R331" t="s">
        <v>2349</v>
      </c>
      <c r="S331" t="s">
        <v>2348</v>
      </c>
    </row>
    <row r="332" spans="1:19" x14ac:dyDescent="0.2">
      <c r="A332" t="s">
        <v>2353</v>
      </c>
      <c r="B332" t="s">
        <v>2352</v>
      </c>
      <c r="C332">
        <v>13</v>
      </c>
      <c r="D332" t="s">
        <v>363</v>
      </c>
      <c r="E332">
        <v>1</v>
      </c>
      <c r="F332" t="s">
        <v>2351</v>
      </c>
      <c r="G332" t="s">
        <v>118</v>
      </c>
      <c r="H332" t="s">
        <v>117</v>
      </c>
      <c r="I332">
        <v>0.96119815881955994</v>
      </c>
      <c r="J332">
        <v>0.979581173983469</v>
      </c>
      <c r="K332">
        <v>12</v>
      </c>
      <c r="L332">
        <v>11</v>
      </c>
      <c r="M332">
        <v>410</v>
      </c>
      <c r="N332" t="s">
        <v>1834</v>
      </c>
      <c r="O332" t="s">
        <v>2350</v>
      </c>
      <c r="P332">
        <v>6782</v>
      </c>
      <c r="Q332">
        <v>7975</v>
      </c>
      <c r="R332" t="s">
        <v>2349</v>
      </c>
      <c r="S332" t="s">
        <v>2348</v>
      </c>
    </row>
    <row r="333" spans="1:19" x14ac:dyDescent="0.2">
      <c r="A333" t="s">
        <v>2347</v>
      </c>
      <c r="B333" t="s">
        <v>2344</v>
      </c>
      <c r="C333">
        <v>19</v>
      </c>
      <c r="D333" t="s">
        <v>363</v>
      </c>
      <c r="E333">
        <v>0</v>
      </c>
      <c r="F333" t="s">
        <v>2346</v>
      </c>
      <c r="G333" t="s">
        <v>118</v>
      </c>
      <c r="H333" t="s">
        <v>117</v>
      </c>
      <c r="I333">
        <v>0.85287825232572301</v>
      </c>
      <c r="J333">
        <v>0.837257192467179</v>
      </c>
      <c r="K333">
        <v>10</v>
      </c>
      <c r="L333">
        <v>5</v>
      </c>
      <c r="M333">
        <v>500</v>
      </c>
      <c r="N333" t="s">
        <v>1834</v>
      </c>
      <c r="O333" t="s">
        <v>1833</v>
      </c>
      <c r="P333">
        <v>6776</v>
      </c>
      <c r="Q333">
        <v>4094</v>
      </c>
      <c r="R333" t="s">
        <v>2342</v>
      </c>
      <c r="S333" t="s">
        <v>2341</v>
      </c>
    </row>
    <row r="334" spans="1:19" x14ac:dyDescent="0.2">
      <c r="A334" t="s">
        <v>2345</v>
      </c>
      <c r="B334" t="s">
        <v>2344</v>
      </c>
      <c r="C334">
        <v>8</v>
      </c>
      <c r="D334" t="s">
        <v>388</v>
      </c>
      <c r="E334">
        <v>1</v>
      </c>
      <c r="F334" t="s">
        <v>2343</v>
      </c>
      <c r="G334" t="s">
        <v>118</v>
      </c>
      <c r="H334" t="s">
        <v>117</v>
      </c>
      <c r="I334">
        <v>0.78751122112886796</v>
      </c>
      <c r="J334">
        <v>0.84944307366838201</v>
      </c>
      <c r="K334">
        <v>10</v>
      </c>
      <c r="L334">
        <v>5</v>
      </c>
      <c r="M334">
        <v>496</v>
      </c>
      <c r="N334" t="s">
        <v>1834</v>
      </c>
      <c r="O334" t="s">
        <v>1833</v>
      </c>
      <c r="P334">
        <v>6776</v>
      </c>
      <c r="Q334">
        <v>4094</v>
      </c>
      <c r="R334" t="s">
        <v>2342</v>
      </c>
      <c r="S334" t="s">
        <v>2341</v>
      </c>
    </row>
    <row r="335" spans="1:19" x14ac:dyDescent="0.2">
      <c r="A335" t="s">
        <v>2340</v>
      </c>
      <c r="B335" t="s">
        <v>2339</v>
      </c>
      <c r="C335">
        <v>10</v>
      </c>
      <c r="D335" t="s">
        <v>363</v>
      </c>
      <c r="E335">
        <v>0</v>
      </c>
      <c r="F335" t="s">
        <v>2338</v>
      </c>
      <c r="G335" t="s">
        <v>118</v>
      </c>
      <c r="H335" t="s">
        <v>117</v>
      </c>
      <c r="I335">
        <v>0.94972527210880797</v>
      </c>
      <c r="J335">
        <v>0.94656895122696905</v>
      </c>
      <c r="K335">
        <v>86</v>
      </c>
      <c r="L335">
        <v>14</v>
      </c>
      <c r="M335">
        <v>501</v>
      </c>
      <c r="N335" t="s">
        <v>718</v>
      </c>
      <c r="O335" t="s">
        <v>2178</v>
      </c>
      <c r="P335">
        <v>6913</v>
      </c>
      <c r="Q335">
        <v>4149</v>
      </c>
      <c r="R335" t="s">
        <v>2337</v>
      </c>
      <c r="S335" t="s">
        <v>2336</v>
      </c>
    </row>
    <row r="336" spans="1:19" x14ac:dyDescent="0.2">
      <c r="A336" t="s">
        <v>2335</v>
      </c>
      <c r="B336" t="s">
        <v>45</v>
      </c>
      <c r="C336">
        <v>22</v>
      </c>
      <c r="D336" t="s">
        <v>363</v>
      </c>
      <c r="E336">
        <v>0</v>
      </c>
      <c r="F336" t="s">
        <v>2334</v>
      </c>
      <c r="G336" t="s">
        <v>118</v>
      </c>
      <c r="H336" t="s">
        <v>117</v>
      </c>
      <c r="I336">
        <v>0.95088009803649598</v>
      </c>
      <c r="J336">
        <v>0.96096649810650403</v>
      </c>
      <c r="K336">
        <v>3</v>
      </c>
      <c r="L336">
        <v>5</v>
      </c>
      <c r="M336">
        <v>501</v>
      </c>
      <c r="N336" t="s">
        <v>137</v>
      </c>
      <c r="O336" t="s">
        <v>682</v>
      </c>
      <c r="P336">
        <v>6914</v>
      </c>
      <c r="Q336">
        <v>4150</v>
      </c>
      <c r="R336" t="s">
        <v>2331</v>
      </c>
      <c r="S336" t="s">
        <v>2330</v>
      </c>
    </row>
    <row r="337" spans="1:19" x14ac:dyDescent="0.2">
      <c r="A337" t="s">
        <v>2333</v>
      </c>
      <c r="B337" t="s">
        <v>45</v>
      </c>
      <c r="C337">
        <v>11</v>
      </c>
      <c r="D337" t="s">
        <v>363</v>
      </c>
      <c r="E337">
        <v>1</v>
      </c>
      <c r="F337" t="s">
        <v>2332</v>
      </c>
      <c r="G337" t="s">
        <v>118</v>
      </c>
      <c r="H337" t="s">
        <v>117</v>
      </c>
      <c r="I337">
        <v>0.92633645783905105</v>
      </c>
      <c r="J337">
        <v>0.95499647809036803</v>
      </c>
      <c r="K337">
        <v>3</v>
      </c>
      <c r="L337">
        <v>5</v>
      </c>
      <c r="M337">
        <v>486</v>
      </c>
      <c r="N337" t="s">
        <v>137</v>
      </c>
      <c r="O337" t="s">
        <v>682</v>
      </c>
      <c r="P337">
        <v>6914</v>
      </c>
      <c r="Q337">
        <v>4150</v>
      </c>
      <c r="R337" t="s">
        <v>2331</v>
      </c>
      <c r="S337" t="s">
        <v>2330</v>
      </c>
    </row>
    <row r="338" spans="1:19" x14ac:dyDescent="0.2">
      <c r="A338" t="s">
        <v>2329</v>
      </c>
      <c r="B338" t="s">
        <v>2328</v>
      </c>
      <c r="C338">
        <v>11</v>
      </c>
      <c r="D338" t="s">
        <v>388</v>
      </c>
      <c r="E338">
        <v>0</v>
      </c>
      <c r="F338" t="s">
        <v>2327</v>
      </c>
      <c r="G338" t="s">
        <v>229</v>
      </c>
      <c r="H338" t="s">
        <v>228</v>
      </c>
      <c r="M338">
        <v>113</v>
      </c>
      <c r="P338">
        <v>6917</v>
      </c>
      <c r="Q338">
        <v>8932</v>
      </c>
      <c r="R338" t="s">
        <v>2326</v>
      </c>
      <c r="S338" t="s">
        <v>2325</v>
      </c>
    </row>
    <row r="339" spans="1:19" x14ac:dyDescent="0.2">
      <c r="A339" t="s">
        <v>2324</v>
      </c>
      <c r="B339" t="s">
        <v>2323</v>
      </c>
      <c r="C339">
        <v>17</v>
      </c>
      <c r="D339" t="s">
        <v>111</v>
      </c>
      <c r="E339">
        <v>0</v>
      </c>
      <c r="F339" t="s">
        <v>2322</v>
      </c>
      <c r="G339" t="s">
        <v>229</v>
      </c>
      <c r="H339" t="s">
        <v>228</v>
      </c>
      <c r="M339">
        <v>8</v>
      </c>
      <c r="N339" t="s">
        <v>1483</v>
      </c>
      <c r="O339" t="s">
        <v>1482</v>
      </c>
      <c r="P339">
        <v>7979</v>
      </c>
      <c r="Q339">
        <v>4306</v>
      </c>
      <c r="R339" t="s">
        <v>2321</v>
      </c>
      <c r="S339" t="s">
        <v>2320</v>
      </c>
    </row>
    <row r="340" spans="1:19" x14ac:dyDescent="0.2">
      <c r="A340" t="s">
        <v>2319</v>
      </c>
      <c r="B340" t="s">
        <v>2318</v>
      </c>
      <c r="C340">
        <v>7</v>
      </c>
      <c r="D340" t="s">
        <v>120</v>
      </c>
      <c r="E340">
        <v>0</v>
      </c>
      <c r="F340" t="s">
        <v>2317</v>
      </c>
      <c r="G340" t="s">
        <v>229</v>
      </c>
      <c r="H340" t="s">
        <v>228</v>
      </c>
      <c r="M340">
        <v>122</v>
      </c>
      <c r="P340">
        <v>6990</v>
      </c>
      <c r="Q340">
        <v>4204</v>
      </c>
      <c r="R340" t="s">
        <v>2316</v>
      </c>
      <c r="S340" t="s">
        <v>2315</v>
      </c>
    </row>
    <row r="341" spans="1:19" x14ac:dyDescent="0.2">
      <c r="A341" t="s">
        <v>2314</v>
      </c>
      <c r="B341" t="s">
        <v>91</v>
      </c>
      <c r="C341">
        <v>13</v>
      </c>
      <c r="D341" t="s">
        <v>363</v>
      </c>
      <c r="E341">
        <v>0</v>
      </c>
      <c r="F341" t="s">
        <v>2303</v>
      </c>
      <c r="G341" t="s">
        <v>118</v>
      </c>
      <c r="H341" t="s">
        <v>117</v>
      </c>
      <c r="I341">
        <v>0.94625344986916005</v>
      </c>
      <c r="J341">
        <v>0.97302031178951798</v>
      </c>
      <c r="K341">
        <v>15</v>
      </c>
      <c r="L341">
        <v>6</v>
      </c>
      <c r="M341">
        <v>500</v>
      </c>
      <c r="N341" t="s">
        <v>2298</v>
      </c>
      <c r="O341" t="s">
        <v>2297</v>
      </c>
      <c r="P341">
        <v>6993</v>
      </c>
      <c r="Q341">
        <v>4205</v>
      </c>
      <c r="R341" t="s">
        <v>2313</v>
      </c>
      <c r="S341" t="s">
        <v>2312</v>
      </c>
    </row>
    <row r="342" spans="1:19" x14ac:dyDescent="0.2">
      <c r="A342" t="s">
        <v>2311</v>
      </c>
      <c r="B342" t="s">
        <v>2310</v>
      </c>
      <c r="C342">
        <v>14</v>
      </c>
      <c r="D342" t="s">
        <v>363</v>
      </c>
      <c r="E342">
        <v>0</v>
      </c>
      <c r="F342" t="s">
        <v>2309</v>
      </c>
      <c r="G342" t="s">
        <v>118</v>
      </c>
      <c r="H342" t="s">
        <v>117</v>
      </c>
      <c r="I342">
        <v>0.94574455855239803</v>
      </c>
      <c r="K342">
        <v>23</v>
      </c>
      <c r="M342">
        <v>500</v>
      </c>
      <c r="N342" t="s">
        <v>2298</v>
      </c>
      <c r="O342" t="s">
        <v>2297</v>
      </c>
      <c r="P342">
        <v>6995</v>
      </c>
      <c r="Q342" t="s">
        <v>2308</v>
      </c>
      <c r="R342" t="s">
        <v>2307</v>
      </c>
      <c r="S342" t="s">
        <v>2306</v>
      </c>
    </row>
    <row r="343" spans="1:19" x14ac:dyDescent="0.2">
      <c r="A343" t="s">
        <v>2305</v>
      </c>
      <c r="B343" t="s">
        <v>2304</v>
      </c>
      <c r="C343">
        <v>13</v>
      </c>
      <c r="D343" t="s">
        <v>363</v>
      </c>
      <c r="E343">
        <v>0</v>
      </c>
      <c r="F343" t="s">
        <v>2303</v>
      </c>
      <c r="G343" t="s">
        <v>118</v>
      </c>
      <c r="H343" t="s">
        <v>117</v>
      </c>
      <c r="I343">
        <v>0.95924275254196301</v>
      </c>
      <c r="J343">
        <v>0.87722618974660205</v>
      </c>
      <c r="K343">
        <v>6</v>
      </c>
      <c r="L343">
        <v>9</v>
      </c>
      <c r="M343">
        <v>500</v>
      </c>
      <c r="N343" t="s">
        <v>2298</v>
      </c>
      <c r="O343" t="s">
        <v>2297</v>
      </c>
      <c r="P343">
        <v>6996</v>
      </c>
      <c r="Q343">
        <v>4208</v>
      </c>
      <c r="R343" t="s">
        <v>2302</v>
      </c>
      <c r="S343" t="s">
        <v>2301</v>
      </c>
    </row>
    <row r="344" spans="1:19" x14ac:dyDescent="0.2">
      <c r="A344" t="s">
        <v>2300</v>
      </c>
      <c r="B344" t="s">
        <v>67</v>
      </c>
      <c r="C344">
        <v>12</v>
      </c>
      <c r="D344" t="s">
        <v>363</v>
      </c>
      <c r="E344">
        <v>0</v>
      </c>
      <c r="F344" t="s">
        <v>2299</v>
      </c>
      <c r="G344" t="s">
        <v>118</v>
      </c>
      <c r="H344" t="s">
        <v>117</v>
      </c>
      <c r="I344">
        <v>0.84285724708949505</v>
      </c>
      <c r="J344">
        <v>0.964717414292947</v>
      </c>
      <c r="K344">
        <v>2</v>
      </c>
      <c r="L344">
        <v>27</v>
      </c>
      <c r="M344">
        <v>500</v>
      </c>
      <c r="N344" t="s">
        <v>2298</v>
      </c>
      <c r="O344" t="s">
        <v>2297</v>
      </c>
      <c r="P344">
        <v>6997</v>
      </c>
      <c r="Q344">
        <v>4209</v>
      </c>
      <c r="R344" t="s">
        <v>2296</v>
      </c>
      <c r="S344" t="s">
        <v>2295</v>
      </c>
    </row>
    <row r="345" spans="1:19" x14ac:dyDescent="0.2">
      <c r="A345" t="s">
        <v>2294</v>
      </c>
      <c r="B345" t="s">
        <v>2291</v>
      </c>
      <c r="C345">
        <v>12</v>
      </c>
      <c r="D345" t="s">
        <v>363</v>
      </c>
      <c r="E345">
        <v>0</v>
      </c>
      <c r="F345" t="s">
        <v>2293</v>
      </c>
      <c r="G345" t="s">
        <v>118</v>
      </c>
      <c r="H345" t="s">
        <v>117</v>
      </c>
      <c r="I345">
        <v>0.816398505930371</v>
      </c>
      <c r="J345">
        <v>0.94542700550568304</v>
      </c>
      <c r="K345">
        <v>2</v>
      </c>
      <c r="L345">
        <v>37</v>
      </c>
      <c r="M345">
        <v>499</v>
      </c>
      <c r="N345" t="s">
        <v>796</v>
      </c>
      <c r="O345" t="s">
        <v>2279</v>
      </c>
      <c r="P345">
        <v>7000</v>
      </c>
      <c r="Q345">
        <v>4211</v>
      </c>
      <c r="R345" t="s">
        <v>2289</v>
      </c>
      <c r="S345" t="s">
        <v>2288</v>
      </c>
    </row>
    <row r="346" spans="1:19" x14ac:dyDescent="0.2">
      <c r="A346" t="s">
        <v>2292</v>
      </c>
      <c r="B346" t="s">
        <v>2291</v>
      </c>
      <c r="C346">
        <v>9</v>
      </c>
      <c r="D346" t="s">
        <v>388</v>
      </c>
      <c r="E346">
        <v>1</v>
      </c>
      <c r="F346" t="s">
        <v>2290</v>
      </c>
      <c r="G346" t="s">
        <v>118</v>
      </c>
      <c r="H346" t="s">
        <v>117</v>
      </c>
      <c r="I346">
        <v>0.77826424551324802</v>
      </c>
      <c r="J346">
        <v>0.85399866203022701</v>
      </c>
      <c r="K346">
        <v>2</v>
      </c>
      <c r="L346">
        <v>37</v>
      </c>
      <c r="M346">
        <v>500</v>
      </c>
      <c r="N346" t="s">
        <v>796</v>
      </c>
      <c r="O346" t="s">
        <v>2279</v>
      </c>
      <c r="P346">
        <v>7000</v>
      </c>
      <c r="Q346">
        <v>4211</v>
      </c>
      <c r="R346" t="s">
        <v>2289</v>
      </c>
      <c r="S346" t="s">
        <v>2288</v>
      </c>
    </row>
    <row r="347" spans="1:19" x14ac:dyDescent="0.2">
      <c r="A347" t="s">
        <v>2287</v>
      </c>
      <c r="B347" t="s">
        <v>2286</v>
      </c>
      <c r="C347">
        <v>13</v>
      </c>
      <c r="D347" t="s">
        <v>388</v>
      </c>
      <c r="E347">
        <v>0</v>
      </c>
      <c r="F347" t="s">
        <v>2285</v>
      </c>
      <c r="G347" t="s">
        <v>229</v>
      </c>
      <c r="H347" t="s">
        <v>228</v>
      </c>
      <c r="M347">
        <v>413</v>
      </c>
      <c r="N347" t="s">
        <v>796</v>
      </c>
      <c r="O347" t="s">
        <v>2279</v>
      </c>
      <c r="P347">
        <v>7001</v>
      </c>
      <c r="Q347">
        <v>4212</v>
      </c>
      <c r="R347" t="s">
        <v>2284</v>
      </c>
      <c r="S347" t="s">
        <v>2283</v>
      </c>
    </row>
    <row r="348" spans="1:19" x14ac:dyDescent="0.2">
      <c r="A348" t="s">
        <v>2282</v>
      </c>
      <c r="B348" t="s">
        <v>2281</v>
      </c>
      <c r="C348">
        <v>11</v>
      </c>
      <c r="D348" t="s">
        <v>111</v>
      </c>
      <c r="E348">
        <v>0</v>
      </c>
      <c r="F348" t="s">
        <v>2280</v>
      </c>
      <c r="G348" t="s">
        <v>109</v>
      </c>
      <c r="H348" t="s">
        <v>108</v>
      </c>
      <c r="M348">
        <v>10453</v>
      </c>
      <c r="N348" t="s">
        <v>796</v>
      </c>
      <c r="O348" t="s">
        <v>2279</v>
      </c>
      <c r="P348">
        <v>29537</v>
      </c>
      <c r="Q348">
        <v>56917</v>
      </c>
      <c r="R348" t="s">
        <v>2278</v>
      </c>
      <c r="S348" t="s">
        <v>2277</v>
      </c>
    </row>
    <row r="349" spans="1:19" x14ac:dyDescent="0.2">
      <c r="A349" t="s">
        <v>2276</v>
      </c>
      <c r="B349" t="s">
        <v>2275</v>
      </c>
      <c r="C349">
        <v>16</v>
      </c>
      <c r="D349" t="s">
        <v>111</v>
      </c>
      <c r="E349">
        <v>0</v>
      </c>
      <c r="F349" t="s">
        <v>2274</v>
      </c>
      <c r="G349" t="s">
        <v>109</v>
      </c>
      <c r="H349" t="s">
        <v>108</v>
      </c>
      <c r="M349">
        <v>61</v>
      </c>
      <c r="N349" t="s">
        <v>1660</v>
      </c>
      <c r="O349" t="s">
        <v>2268</v>
      </c>
      <c r="P349">
        <v>7013</v>
      </c>
      <c r="Q349">
        <v>4222</v>
      </c>
      <c r="R349" t="s">
        <v>2273</v>
      </c>
      <c r="S349" t="s">
        <v>2272</v>
      </c>
    </row>
    <row r="350" spans="1:19" x14ac:dyDescent="0.2">
      <c r="A350" t="s">
        <v>2271</v>
      </c>
      <c r="B350" t="s">
        <v>2270</v>
      </c>
      <c r="C350">
        <v>11</v>
      </c>
      <c r="D350" t="s">
        <v>111</v>
      </c>
      <c r="E350">
        <v>0</v>
      </c>
      <c r="F350" t="s">
        <v>2269</v>
      </c>
      <c r="G350" t="s">
        <v>109</v>
      </c>
      <c r="H350" t="s">
        <v>108</v>
      </c>
      <c r="M350">
        <v>40067</v>
      </c>
      <c r="N350" t="s">
        <v>1660</v>
      </c>
      <c r="O350" t="s">
        <v>2268</v>
      </c>
      <c r="P350">
        <v>7014</v>
      </c>
      <c r="Q350">
        <v>4223</v>
      </c>
      <c r="R350" t="s">
        <v>2267</v>
      </c>
      <c r="S350" t="s">
        <v>2266</v>
      </c>
    </row>
    <row r="351" spans="1:19" x14ac:dyDescent="0.2">
      <c r="A351" t="s">
        <v>2265</v>
      </c>
      <c r="B351" t="s">
        <v>2264</v>
      </c>
      <c r="C351">
        <v>11</v>
      </c>
      <c r="D351" t="s">
        <v>111</v>
      </c>
      <c r="E351">
        <v>0</v>
      </c>
      <c r="F351" t="s">
        <v>2263</v>
      </c>
      <c r="G351" t="s">
        <v>109</v>
      </c>
      <c r="H351" t="s">
        <v>108</v>
      </c>
      <c r="M351">
        <v>61</v>
      </c>
      <c r="N351" t="s">
        <v>753</v>
      </c>
      <c r="O351" t="s">
        <v>2262</v>
      </c>
      <c r="P351">
        <v>29658</v>
      </c>
      <c r="Q351">
        <v>55897</v>
      </c>
      <c r="R351" t="s">
        <v>2261</v>
      </c>
      <c r="S351" t="s">
        <v>2260</v>
      </c>
    </row>
    <row r="352" spans="1:19" x14ac:dyDescent="0.2">
      <c r="A352" t="s">
        <v>2259</v>
      </c>
      <c r="B352" t="s">
        <v>2258</v>
      </c>
      <c r="C352">
        <v>16</v>
      </c>
      <c r="D352" t="s">
        <v>111</v>
      </c>
      <c r="E352">
        <v>0</v>
      </c>
      <c r="F352" t="s">
        <v>2257</v>
      </c>
      <c r="G352" t="s">
        <v>109</v>
      </c>
      <c r="H352" t="s">
        <v>108</v>
      </c>
      <c r="M352">
        <v>6178</v>
      </c>
      <c r="N352" t="s">
        <v>2256</v>
      </c>
      <c r="O352" t="s">
        <v>2255</v>
      </c>
      <c r="P352">
        <v>14010</v>
      </c>
      <c r="Q352">
        <v>23269</v>
      </c>
      <c r="R352" t="s">
        <v>2254</v>
      </c>
      <c r="S352" t="s">
        <v>2253</v>
      </c>
    </row>
    <row r="353" spans="1:19" x14ac:dyDescent="0.2">
      <c r="A353" t="s">
        <v>2252</v>
      </c>
      <c r="B353" t="s">
        <v>2251</v>
      </c>
      <c r="C353">
        <v>10</v>
      </c>
      <c r="D353" t="s">
        <v>363</v>
      </c>
      <c r="E353">
        <v>0</v>
      </c>
      <c r="F353" t="s">
        <v>2250</v>
      </c>
      <c r="G353" t="s">
        <v>118</v>
      </c>
      <c r="H353" t="s">
        <v>117</v>
      </c>
      <c r="I353">
        <v>0.998803371961547</v>
      </c>
      <c r="J353">
        <v>0.82401112556570499</v>
      </c>
      <c r="K353">
        <v>28</v>
      </c>
      <c r="L353">
        <v>3</v>
      </c>
      <c r="M353">
        <v>516</v>
      </c>
      <c r="N353" t="s">
        <v>718</v>
      </c>
      <c r="O353" t="s">
        <v>807</v>
      </c>
      <c r="P353">
        <v>7105</v>
      </c>
      <c r="Q353">
        <v>4286</v>
      </c>
      <c r="R353" t="s">
        <v>2249</v>
      </c>
      <c r="S353" t="s">
        <v>2248</v>
      </c>
    </row>
    <row r="354" spans="1:19" x14ac:dyDescent="0.2">
      <c r="A354" t="s">
        <v>2247</v>
      </c>
      <c r="B354" t="s">
        <v>2246</v>
      </c>
      <c r="C354">
        <v>11</v>
      </c>
      <c r="D354" t="s">
        <v>111</v>
      </c>
      <c r="E354">
        <v>0</v>
      </c>
      <c r="F354" t="s">
        <v>2245</v>
      </c>
      <c r="G354" t="s">
        <v>109</v>
      </c>
      <c r="H354" t="s">
        <v>108</v>
      </c>
      <c r="M354">
        <v>220</v>
      </c>
      <c r="N354" t="s">
        <v>671</v>
      </c>
      <c r="O354" t="s">
        <v>2244</v>
      </c>
      <c r="P354">
        <v>13363</v>
      </c>
      <c r="Q354">
        <v>83881</v>
      </c>
      <c r="R354" t="s">
        <v>2243</v>
      </c>
      <c r="S354" t="s">
        <v>2242</v>
      </c>
    </row>
    <row r="355" spans="1:19" x14ac:dyDescent="0.2">
      <c r="A355" t="s">
        <v>2241</v>
      </c>
      <c r="B355" t="s">
        <v>2240</v>
      </c>
      <c r="C355">
        <v>19</v>
      </c>
      <c r="D355" t="s">
        <v>111</v>
      </c>
      <c r="E355">
        <v>0</v>
      </c>
      <c r="F355" t="s">
        <v>2239</v>
      </c>
      <c r="G355" t="s">
        <v>229</v>
      </c>
      <c r="H355" t="s">
        <v>228</v>
      </c>
      <c r="M355">
        <v>11</v>
      </c>
      <c r="N355" t="s">
        <v>718</v>
      </c>
      <c r="O355" t="s">
        <v>2234</v>
      </c>
      <c r="P355">
        <v>12744</v>
      </c>
      <c r="Q355">
        <v>51085</v>
      </c>
      <c r="R355" t="s">
        <v>2238</v>
      </c>
      <c r="S355" t="s">
        <v>2237</v>
      </c>
    </row>
    <row r="356" spans="1:19" x14ac:dyDescent="0.2">
      <c r="A356" t="s">
        <v>2236</v>
      </c>
      <c r="B356" t="s">
        <v>19</v>
      </c>
      <c r="C356">
        <v>11</v>
      </c>
      <c r="D356" t="s">
        <v>111</v>
      </c>
      <c r="E356">
        <v>0</v>
      </c>
      <c r="F356" t="s">
        <v>2235</v>
      </c>
      <c r="G356" t="s">
        <v>109</v>
      </c>
      <c r="H356" t="s">
        <v>108</v>
      </c>
      <c r="M356">
        <v>18958</v>
      </c>
      <c r="N356" t="s">
        <v>718</v>
      </c>
      <c r="O356" t="s">
        <v>2234</v>
      </c>
      <c r="P356">
        <v>11645</v>
      </c>
      <c r="Q356">
        <v>6945</v>
      </c>
      <c r="R356" t="s">
        <v>2233</v>
      </c>
      <c r="S356" t="s">
        <v>2232</v>
      </c>
    </row>
    <row r="357" spans="1:19" x14ac:dyDescent="0.2">
      <c r="A357" t="s">
        <v>2231</v>
      </c>
      <c r="B357" t="s">
        <v>2230</v>
      </c>
      <c r="C357">
        <v>19</v>
      </c>
      <c r="D357" t="s">
        <v>111</v>
      </c>
      <c r="E357">
        <v>0</v>
      </c>
      <c r="F357" t="s">
        <v>2229</v>
      </c>
      <c r="G357" t="s">
        <v>109</v>
      </c>
      <c r="H357" t="s">
        <v>108</v>
      </c>
      <c r="M357">
        <v>27</v>
      </c>
      <c r="N357" t="s">
        <v>1660</v>
      </c>
      <c r="O357" t="s">
        <v>2228</v>
      </c>
      <c r="P357">
        <v>4979</v>
      </c>
      <c r="Q357">
        <v>3110</v>
      </c>
      <c r="R357" t="s">
        <v>2227</v>
      </c>
      <c r="S357" t="s">
        <v>2226</v>
      </c>
    </row>
    <row r="358" spans="1:19" x14ac:dyDescent="0.2">
      <c r="A358" t="s">
        <v>2225</v>
      </c>
      <c r="B358" t="s">
        <v>2224</v>
      </c>
      <c r="C358">
        <v>18</v>
      </c>
      <c r="D358" t="s">
        <v>111</v>
      </c>
      <c r="E358">
        <v>0</v>
      </c>
      <c r="F358" t="s">
        <v>2223</v>
      </c>
      <c r="G358" t="s">
        <v>109</v>
      </c>
      <c r="H358" t="s">
        <v>108</v>
      </c>
      <c r="M358">
        <v>34415</v>
      </c>
      <c r="N358" t="s">
        <v>691</v>
      </c>
      <c r="O358" t="s">
        <v>2218</v>
      </c>
      <c r="P358">
        <v>7391</v>
      </c>
      <c r="Q358">
        <v>4487</v>
      </c>
      <c r="R358" t="s">
        <v>2222</v>
      </c>
      <c r="S358" t="s">
        <v>2221</v>
      </c>
    </row>
    <row r="359" spans="1:19" x14ac:dyDescent="0.2">
      <c r="A359" t="s">
        <v>2220</v>
      </c>
      <c r="B359" t="s">
        <v>78</v>
      </c>
      <c r="C359">
        <v>7</v>
      </c>
      <c r="D359" t="s">
        <v>111</v>
      </c>
      <c r="E359">
        <v>0</v>
      </c>
      <c r="F359" t="s">
        <v>2219</v>
      </c>
      <c r="G359" t="s">
        <v>229</v>
      </c>
      <c r="H359" t="s">
        <v>228</v>
      </c>
      <c r="M359">
        <v>12</v>
      </c>
      <c r="N359" t="s">
        <v>691</v>
      </c>
      <c r="O359" t="s">
        <v>2218</v>
      </c>
      <c r="P359">
        <v>7392</v>
      </c>
      <c r="Q359">
        <v>4488</v>
      </c>
      <c r="R359" t="s">
        <v>2217</v>
      </c>
      <c r="S359" t="s">
        <v>2216</v>
      </c>
    </row>
    <row r="360" spans="1:19" x14ac:dyDescent="0.2">
      <c r="A360" t="s">
        <v>2215</v>
      </c>
      <c r="B360" t="s">
        <v>2214</v>
      </c>
      <c r="C360">
        <v>17</v>
      </c>
      <c r="D360" t="s">
        <v>120</v>
      </c>
      <c r="E360">
        <v>0</v>
      </c>
      <c r="F360" t="s">
        <v>2213</v>
      </c>
      <c r="G360" t="s">
        <v>229</v>
      </c>
      <c r="H360" t="s">
        <v>228</v>
      </c>
      <c r="M360">
        <v>33</v>
      </c>
      <c r="N360" t="s">
        <v>107</v>
      </c>
      <c r="O360" t="s">
        <v>322</v>
      </c>
      <c r="P360">
        <v>7428</v>
      </c>
      <c r="Q360">
        <v>4520</v>
      </c>
      <c r="R360" t="s">
        <v>2212</v>
      </c>
      <c r="S360" t="s">
        <v>2211</v>
      </c>
    </row>
    <row r="361" spans="1:19" x14ac:dyDescent="0.2">
      <c r="A361" t="s">
        <v>2210</v>
      </c>
      <c r="B361" t="s">
        <v>2207</v>
      </c>
      <c r="C361">
        <v>15</v>
      </c>
      <c r="D361" t="s">
        <v>363</v>
      </c>
      <c r="E361">
        <v>0</v>
      </c>
      <c r="F361" t="s">
        <v>2209</v>
      </c>
      <c r="G361" t="s">
        <v>109</v>
      </c>
      <c r="H361" t="s">
        <v>117</v>
      </c>
      <c r="I361">
        <v>0.878126387624105</v>
      </c>
      <c r="J361">
        <v>0.97281406153607297</v>
      </c>
      <c r="K361">
        <v>10</v>
      </c>
      <c r="L361">
        <v>5</v>
      </c>
      <c r="M361">
        <v>500</v>
      </c>
      <c r="N361" t="s">
        <v>718</v>
      </c>
      <c r="O361" t="s">
        <v>2205</v>
      </c>
      <c r="P361">
        <v>7534</v>
      </c>
      <c r="Q361">
        <v>4601</v>
      </c>
      <c r="R361" t="s">
        <v>2204</v>
      </c>
      <c r="S361" t="s">
        <v>2203</v>
      </c>
    </row>
    <row r="362" spans="1:19" x14ac:dyDescent="0.2">
      <c r="A362" t="s">
        <v>2208</v>
      </c>
      <c r="B362" t="s">
        <v>2207</v>
      </c>
      <c r="C362">
        <v>11</v>
      </c>
      <c r="D362" t="s">
        <v>363</v>
      </c>
      <c r="E362">
        <v>1</v>
      </c>
      <c r="F362" t="s">
        <v>2206</v>
      </c>
      <c r="G362" t="s">
        <v>118</v>
      </c>
      <c r="H362" t="s">
        <v>117</v>
      </c>
      <c r="I362">
        <v>0.87108925149267502</v>
      </c>
      <c r="J362">
        <v>0.95958642420567197</v>
      </c>
      <c r="K362">
        <v>10</v>
      </c>
      <c r="L362">
        <v>5</v>
      </c>
      <c r="M362">
        <v>500</v>
      </c>
      <c r="N362" t="s">
        <v>718</v>
      </c>
      <c r="O362" t="s">
        <v>2205</v>
      </c>
      <c r="P362">
        <v>7534</v>
      </c>
      <c r="Q362">
        <v>4601</v>
      </c>
      <c r="R362" t="s">
        <v>2204</v>
      </c>
      <c r="S362" t="s">
        <v>2203</v>
      </c>
    </row>
    <row r="363" spans="1:19" x14ac:dyDescent="0.2">
      <c r="A363" t="s">
        <v>2202</v>
      </c>
      <c r="B363" t="s">
        <v>2201</v>
      </c>
      <c r="C363">
        <v>15</v>
      </c>
      <c r="D363" t="s">
        <v>111</v>
      </c>
      <c r="E363">
        <v>0</v>
      </c>
      <c r="F363" t="s">
        <v>2200</v>
      </c>
      <c r="G363" t="s">
        <v>118</v>
      </c>
      <c r="H363" t="s">
        <v>117</v>
      </c>
      <c r="I363">
        <v>0.53295022750763099</v>
      </c>
      <c r="J363">
        <v>0.89671111972756901</v>
      </c>
      <c r="K363">
        <v>3</v>
      </c>
      <c r="L363">
        <v>2</v>
      </c>
      <c r="M363">
        <v>500</v>
      </c>
      <c r="N363" t="s">
        <v>1226</v>
      </c>
      <c r="O363" t="s">
        <v>2189</v>
      </c>
      <c r="P363">
        <v>7547</v>
      </c>
      <c r="Q363">
        <v>4603</v>
      </c>
      <c r="R363" t="s">
        <v>2199</v>
      </c>
      <c r="S363" t="s">
        <v>2198</v>
      </c>
    </row>
    <row r="364" spans="1:19" x14ac:dyDescent="0.2">
      <c r="A364" t="s">
        <v>2197</v>
      </c>
      <c r="B364" t="s">
        <v>2196</v>
      </c>
      <c r="C364">
        <v>10</v>
      </c>
      <c r="D364" t="s">
        <v>111</v>
      </c>
      <c r="E364">
        <v>0</v>
      </c>
      <c r="F364" t="s">
        <v>2195</v>
      </c>
      <c r="G364" t="s">
        <v>229</v>
      </c>
      <c r="H364" t="s">
        <v>228</v>
      </c>
      <c r="M364">
        <v>9</v>
      </c>
      <c r="N364" t="s">
        <v>1226</v>
      </c>
      <c r="O364" t="s">
        <v>2189</v>
      </c>
      <c r="P364">
        <v>7548</v>
      </c>
      <c r="Q364">
        <v>4605</v>
      </c>
      <c r="R364" t="s">
        <v>2194</v>
      </c>
      <c r="S364" t="s">
        <v>2193</v>
      </c>
    </row>
    <row r="365" spans="1:19" x14ac:dyDescent="0.2">
      <c r="A365" t="s">
        <v>2192</v>
      </c>
      <c r="B365" t="s">
        <v>2191</v>
      </c>
      <c r="C365">
        <v>12</v>
      </c>
      <c r="D365" t="s">
        <v>363</v>
      </c>
      <c r="E365">
        <v>0</v>
      </c>
      <c r="F365" t="s">
        <v>2190</v>
      </c>
      <c r="G365" t="s">
        <v>118</v>
      </c>
      <c r="H365" t="s">
        <v>117</v>
      </c>
      <c r="I365">
        <v>0.82874849612932899</v>
      </c>
      <c r="J365">
        <v>0.91885510606691601</v>
      </c>
      <c r="K365">
        <v>27</v>
      </c>
      <c r="L365">
        <v>9</v>
      </c>
      <c r="M365">
        <v>500</v>
      </c>
      <c r="N365" t="s">
        <v>1226</v>
      </c>
      <c r="O365" t="s">
        <v>2189</v>
      </c>
      <c r="P365">
        <v>7545</v>
      </c>
      <c r="Q365">
        <v>4602</v>
      </c>
      <c r="R365" t="s">
        <v>2188</v>
      </c>
      <c r="S365" t="s">
        <v>2187</v>
      </c>
    </row>
    <row r="366" spans="1:19" x14ac:dyDescent="0.2">
      <c r="A366" t="s">
        <v>2186</v>
      </c>
      <c r="B366" t="s">
        <v>2185</v>
      </c>
      <c r="C366">
        <v>12</v>
      </c>
      <c r="D366" t="s">
        <v>363</v>
      </c>
      <c r="E366">
        <v>0</v>
      </c>
      <c r="F366" t="s">
        <v>2184</v>
      </c>
      <c r="G366" t="s">
        <v>118</v>
      </c>
      <c r="H366" t="s">
        <v>117</v>
      </c>
      <c r="I366">
        <v>0.91855816626186004</v>
      </c>
      <c r="J366">
        <v>0.89943279545126098</v>
      </c>
      <c r="K366">
        <v>32</v>
      </c>
      <c r="L366">
        <v>10</v>
      </c>
      <c r="M366">
        <v>501</v>
      </c>
      <c r="N366" t="s">
        <v>718</v>
      </c>
      <c r="O366" t="s">
        <v>2178</v>
      </c>
      <c r="P366">
        <v>7559</v>
      </c>
      <c r="Q366">
        <v>4613</v>
      </c>
      <c r="R366" t="s">
        <v>2183</v>
      </c>
      <c r="S366" t="s">
        <v>2182</v>
      </c>
    </row>
    <row r="367" spans="1:19" x14ac:dyDescent="0.2">
      <c r="A367" t="s">
        <v>2181</v>
      </c>
      <c r="B367" t="s">
        <v>2180</v>
      </c>
      <c r="C367">
        <v>11</v>
      </c>
      <c r="D367" t="s">
        <v>363</v>
      </c>
      <c r="E367">
        <v>0</v>
      </c>
      <c r="F367" t="s">
        <v>2179</v>
      </c>
      <c r="G367" t="s">
        <v>118</v>
      </c>
      <c r="H367" t="s">
        <v>117</v>
      </c>
      <c r="I367">
        <v>0.94684134788073004</v>
      </c>
      <c r="J367">
        <v>0.94783616474072696</v>
      </c>
      <c r="K367">
        <v>265</v>
      </c>
      <c r="L367">
        <v>126</v>
      </c>
      <c r="M367">
        <v>501</v>
      </c>
      <c r="N367" t="s">
        <v>718</v>
      </c>
      <c r="O367" t="s">
        <v>2178</v>
      </c>
      <c r="P367">
        <v>7553</v>
      </c>
      <c r="Q367">
        <v>4609</v>
      </c>
      <c r="R367" t="s">
        <v>2177</v>
      </c>
      <c r="S367" t="s">
        <v>2176</v>
      </c>
    </row>
    <row r="368" spans="1:19" x14ac:dyDescent="0.2">
      <c r="A368" t="s">
        <v>2175</v>
      </c>
      <c r="B368" t="s">
        <v>2174</v>
      </c>
      <c r="C368">
        <v>7</v>
      </c>
      <c r="D368" t="s">
        <v>120</v>
      </c>
      <c r="E368">
        <v>0</v>
      </c>
      <c r="F368" t="s">
        <v>2173</v>
      </c>
      <c r="G368" t="s">
        <v>229</v>
      </c>
      <c r="H368" t="s">
        <v>228</v>
      </c>
      <c r="M368">
        <v>9</v>
      </c>
      <c r="N368" t="s">
        <v>2155</v>
      </c>
      <c r="O368" t="s">
        <v>2154</v>
      </c>
      <c r="P368">
        <v>7566</v>
      </c>
      <c r="Q368">
        <v>4618</v>
      </c>
      <c r="R368" t="s">
        <v>2172</v>
      </c>
      <c r="S368" t="s">
        <v>2171</v>
      </c>
    </row>
    <row r="369" spans="1:19" x14ac:dyDescent="0.2">
      <c r="A369" t="s">
        <v>2170</v>
      </c>
      <c r="B369" t="s">
        <v>2169</v>
      </c>
      <c r="C369">
        <v>17</v>
      </c>
      <c r="D369" t="s">
        <v>111</v>
      </c>
      <c r="E369">
        <v>0</v>
      </c>
      <c r="F369" t="s">
        <v>2168</v>
      </c>
      <c r="G369" t="s">
        <v>118</v>
      </c>
      <c r="H369" t="s">
        <v>117</v>
      </c>
      <c r="I369">
        <v>0.79642442473778696</v>
      </c>
      <c r="K369">
        <v>4</v>
      </c>
      <c r="M369">
        <v>366</v>
      </c>
      <c r="N369" t="s">
        <v>107</v>
      </c>
      <c r="O369" t="s">
        <v>125</v>
      </c>
      <c r="P369">
        <v>14955</v>
      </c>
      <c r="Q369">
        <v>55892</v>
      </c>
      <c r="R369" t="s">
        <v>2167</v>
      </c>
      <c r="S369" t="s">
        <v>2166</v>
      </c>
    </row>
    <row r="370" spans="1:19" x14ac:dyDescent="0.2">
      <c r="A370" t="s">
        <v>2165</v>
      </c>
      <c r="B370" t="s">
        <v>2162</v>
      </c>
      <c r="C370">
        <v>15</v>
      </c>
      <c r="D370" t="s">
        <v>363</v>
      </c>
      <c r="E370">
        <v>0</v>
      </c>
      <c r="F370" t="s">
        <v>2164</v>
      </c>
      <c r="G370" t="s">
        <v>118</v>
      </c>
      <c r="H370" t="s">
        <v>117</v>
      </c>
      <c r="I370">
        <v>0.99024762390400001</v>
      </c>
      <c r="J370">
        <v>0.99151775154532995</v>
      </c>
      <c r="K370">
        <v>9</v>
      </c>
      <c r="L370">
        <v>63</v>
      </c>
      <c r="M370">
        <v>500</v>
      </c>
      <c r="N370" t="s">
        <v>2155</v>
      </c>
      <c r="O370" t="s">
        <v>2154</v>
      </c>
      <c r="P370">
        <v>7611</v>
      </c>
      <c r="Q370">
        <v>4654</v>
      </c>
      <c r="R370" t="s">
        <v>2160</v>
      </c>
      <c r="S370" t="s">
        <v>2159</v>
      </c>
    </row>
    <row r="371" spans="1:19" x14ac:dyDescent="0.2">
      <c r="A371" t="s">
        <v>2163</v>
      </c>
      <c r="B371" t="s">
        <v>2162</v>
      </c>
      <c r="C371">
        <v>11</v>
      </c>
      <c r="D371" t="s">
        <v>363</v>
      </c>
      <c r="E371">
        <v>1</v>
      </c>
      <c r="F371" t="s">
        <v>2161</v>
      </c>
      <c r="G371" t="s">
        <v>118</v>
      </c>
      <c r="H371" t="s">
        <v>117</v>
      </c>
      <c r="I371">
        <v>0.98439255091610101</v>
      </c>
      <c r="J371">
        <v>0.98828895118926297</v>
      </c>
      <c r="K371">
        <v>9</v>
      </c>
      <c r="L371">
        <v>63</v>
      </c>
      <c r="M371">
        <v>500</v>
      </c>
      <c r="N371" t="s">
        <v>2155</v>
      </c>
      <c r="O371" t="s">
        <v>2154</v>
      </c>
      <c r="P371">
        <v>7611</v>
      </c>
      <c r="Q371">
        <v>4654</v>
      </c>
      <c r="R371" t="s">
        <v>2160</v>
      </c>
      <c r="S371" t="s">
        <v>2159</v>
      </c>
    </row>
    <row r="372" spans="1:19" x14ac:dyDescent="0.2">
      <c r="A372" t="s">
        <v>2158</v>
      </c>
      <c r="B372" t="s">
        <v>2157</v>
      </c>
      <c r="C372">
        <v>13</v>
      </c>
      <c r="D372" t="s">
        <v>388</v>
      </c>
      <c r="E372">
        <v>0</v>
      </c>
      <c r="F372" t="s">
        <v>2156</v>
      </c>
      <c r="G372" t="s">
        <v>118</v>
      </c>
      <c r="H372" t="s">
        <v>117</v>
      </c>
      <c r="J372">
        <v>0.99424914109142704</v>
      </c>
      <c r="L372">
        <v>20</v>
      </c>
      <c r="M372">
        <v>500</v>
      </c>
      <c r="N372" t="s">
        <v>2155</v>
      </c>
      <c r="O372" t="s">
        <v>2154</v>
      </c>
      <c r="P372">
        <v>7612</v>
      </c>
      <c r="Q372">
        <v>4656</v>
      </c>
      <c r="R372" t="s">
        <v>2153</v>
      </c>
      <c r="S372" t="s">
        <v>2152</v>
      </c>
    </row>
    <row r="373" spans="1:19" x14ac:dyDescent="0.2">
      <c r="A373" t="s">
        <v>2151</v>
      </c>
      <c r="B373" t="s">
        <v>2150</v>
      </c>
      <c r="C373">
        <v>13</v>
      </c>
      <c r="D373" t="s">
        <v>388</v>
      </c>
      <c r="E373">
        <v>0</v>
      </c>
      <c r="F373" t="s">
        <v>2149</v>
      </c>
      <c r="G373" t="s">
        <v>118</v>
      </c>
      <c r="H373" t="s">
        <v>117</v>
      </c>
      <c r="I373">
        <v>0.850851810992167</v>
      </c>
      <c r="K373">
        <v>6</v>
      </c>
      <c r="M373">
        <v>503</v>
      </c>
      <c r="N373" t="s">
        <v>107</v>
      </c>
      <c r="O373" t="s">
        <v>125</v>
      </c>
      <c r="P373">
        <v>13108</v>
      </c>
      <c r="Q373">
        <v>7593</v>
      </c>
      <c r="R373" t="s">
        <v>2148</v>
      </c>
      <c r="S373" t="s">
        <v>2147</v>
      </c>
    </row>
    <row r="374" spans="1:19" x14ac:dyDescent="0.2">
      <c r="A374" t="s">
        <v>2146</v>
      </c>
      <c r="B374" t="s">
        <v>2143</v>
      </c>
      <c r="C374">
        <v>17</v>
      </c>
      <c r="D374" t="s">
        <v>363</v>
      </c>
      <c r="E374">
        <v>0</v>
      </c>
      <c r="F374" t="s">
        <v>2145</v>
      </c>
      <c r="G374" t="s">
        <v>118</v>
      </c>
      <c r="H374" t="s">
        <v>117</v>
      </c>
      <c r="I374">
        <v>0.92013891918491497</v>
      </c>
      <c r="J374">
        <v>0.92827615091566595</v>
      </c>
      <c r="K374">
        <v>15</v>
      </c>
      <c r="L374">
        <v>38</v>
      </c>
      <c r="M374">
        <v>499</v>
      </c>
      <c r="N374" t="s">
        <v>691</v>
      </c>
      <c r="O374" t="s">
        <v>2141</v>
      </c>
      <c r="P374">
        <v>20857</v>
      </c>
      <c r="Q374">
        <v>79923</v>
      </c>
      <c r="R374" t="s">
        <v>2140</v>
      </c>
      <c r="S374" t="s">
        <v>2139</v>
      </c>
    </row>
    <row r="375" spans="1:19" x14ac:dyDescent="0.2">
      <c r="A375" t="s">
        <v>2144</v>
      </c>
      <c r="B375" t="s">
        <v>2143</v>
      </c>
      <c r="C375">
        <v>11</v>
      </c>
      <c r="D375" t="s">
        <v>388</v>
      </c>
      <c r="E375">
        <v>1</v>
      </c>
      <c r="F375" t="s">
        <v>2142</v>
      </c>
      <c r="G375" t="s">
        <v>118</v>
      </c>
      <c r="H375" t="s">
        <v>117</v>
      </c>
      <c r="I375">
        <v>0.76935665182156199</v>
      </c>
      <c r="J375">
        <v>0.82474926966953099</v>
      </c>
      <c r="K375">
        <v>15</v>
      </c>
      <c r="L375">
        <v>38</v>
      </c>
      <c r="M375">
        <v>500</v>
      </c>
      <c r="N375" t="s">
        <v>691</v>
      </c>
      <c r="O375" t="s">
        <v>2141</v>
      </c>
      <c r="P375">
        <v>20857</v>
      </c>
      <c r="Q375">
        <v>79923</v>
      </c>
      <c r="R375" t="s">
        <v>2140</v>
      </c>
      <c r="S375" t="s">
        <v>2139</v>
      </c>
    </row>
    <row r="376" spans="1:19" x14ac:dyDescent="0.2">
      <c r="A376" t="s">
        <v>2138</v>
      </c>
      <c r="B376" t="s">
        <v>2137</v>
      </c>
      <c r="C376">
        <v>10</v>
      </c>
      <c r="D376" t="s">
        <v>363</v>
      </c>
      <c r="E376">
        <v>0</v>
      </c>
      <c r="F376" t="s">
        <v>2136</v>
      </c>
      <c r="G376" t="s">
        <v>118</v>
      </c>
      <c r="H376" t="s">
        <v>117</v>
      </c>
      <c r="I376">
        <v>0.94574810140305099</v>
      </c>
      <c r="J376">
        <v>0.95213758141003801</v>
      </c>
      <c r="K376">
        <v>5</v>
      </c>
      <c r="L376">
        <v>2</v>
      </c>
      <c r="M376">
        <v>503</v>
      </c>
      <c r="N376" t="s">
        <v>753</v>
      </c>
      <c r="O376" t="s">
        <v>1815</v>
      </c>
      <c r="P376">
        <v>7762</v>
      </c>
      <c r="Q376">
        <v>4760</v>
      </c>
      <c r="R376" t="s">
        <v>2135</v>
      </c>
      <c r="S376" t="s">
        <v>2134</v>
      </c>
    </row>
    <row r="377" spans="1:19" x14ac:dyDescent="0.2">
      <c r="A377" t="s">
        <v>2133</v>
      </c>
      <c r="B377" t="s">
        <v>2132</v>
      </c>
      <c r="C377">
        <v>9</v>
      </c>
      <c r="D377" t="s">
        <v>388</v>
      </c>
      <c r="E377">
        <v>0</v>
      </c>
      <c r="F377" t="s">
        <v>2131</v>
      </c>
      <c r="G377" t="s">
        <v>118</v>
      </c>
      <c r="H377" t="s">
        <v>117</v>
      </c>
      <c r="I377">
        <v>0.59449011119551598</v>
      </c>
      <c r="J377">
        <v>0.96287236500894902</v>
      </c>
      <c r="K377">
        <v>2</v>
      </c>
      <c r="L377">
        <v>21</v>
      </c>
      <c r="M377">
        <v>502</v>
      </c>
      <c r="N377" t="s">
        <v>753</v>
      </c>
      <c r="O377" t="s">
        <v>1815</v>
      </c>
      <c r="P377">
        <v>7763</v>
      </c>
      <c r="Q377">
        <v>4761</v>
      </c>
      <c r="R377" t="s">
        <v>2130</v>
      </c>
      <c r="S377" t="s">
        <v>2129</v>
      </c>
    </row>
    <row r="378" spans="1:19" x14ac:dyDescent="0.2">
      <c r="A378" t="s">
        <v>2128</v>
      </c>
      <c r="B378" t="s">
        <v>2127</v>
      </c>
      <c r="C378">
        <v>7</v>
      </c>
      <c r="D378" t="s">
        <v>120</v>
      </c>
      <c r="E378">
        <v>0</v>
      </c>
      <c r="F378" t="s">
        <v>2126</v>
      </c>
      <c r="G378" t="s">
        <v>229</v>
      </c>
      <c r="H378" t="s">
        <v>228</v>
      </c>
      <c r="M378">
        <v>115</v>
      </c>
      <c r="N378" t="s">
        <v>2082</v>
      </c>
      <c r="O378" t="s">
        <v>2081</v>
      </c>
      <c r="P378">
        <v>7781</v>
      </c>
      <c r="Q378">
        <v>4779</v>
      </c>
      <c r="R378" t="s">
        <v>2125</v>
      </c>
      <c r="S378" t="s">
        <v>2124</v>
      </c>
    </row>
    <row r="379" spans="1:19" x14ac:dyDescent="0.2">
      <c r="A379" t="s">
        <v>2123</v>
      </c>
      <c r="B379" t="s">
        <v>2122</v>
      </c>
      <c r="C379">
        <v>14</v>
      </c>
      <c r="D379" t="s">
        <v>363</v>
      </c>
      <c r="E379">
        <v>0</v>
      </c>
      <c r="F379" t="s">
        <v>2121</v>
      </c>
      <c r="G379" t="s">
        <v>118</v>
      </c>
      <c r="H379" t="s">
        <v>117</v>
      </c>
      <c r="I379">
        <v>0.88957287176087296</v>
      </c>
      <c r="J379">
        <v>0.98292244324266298</v>
      </c>
      <c r="K379">
        <v>5</v>
      </c>
      <c r="L379">
        <v>26</v>
      </c>
      <c r="M379">
        <v>500</v>
      </c>
      <c r="N379" t="s">
        <v>2082</v>
      </c>
      <c r="O379" t="s">
        <v>2081</v>
      </c>
      <c r="P379">
        <v>7782</v>
      </c>
      <c r="Q379">
        <v>4780</v>
      </c>
      <c r="R379" t="s">
        <v>2120</v>
      </c>
      <c r="S379" t="s">
        <v>2119</v>
      </c>
    </row>
    <row r="380" spans="1:19" x14ac:dyDescent="0.2">
      <c r="A380" t="s">
        <v>2118</v>
      </c>
      <c r="B380" t="s">
        <v>2115</v>
      </c>
      <c r="C380">
        <v>15</v>
      </c>
      <c r="D380" t="s">
        <v>388</v>
      </c>
      <c r="E380">
        <v>0</v>
      </c>
      <c r="F380" t="s">
        <v>2117</v>
      </c>
      <c r="G380" t="s">
        <v>118</v>
      </c>
      <c r="H380" t="s">
        <v>117</v>
      </c>
      <c r="I380">
        <v>0.867998984431534</v>
      </c>
      <c r="J380">
        <v>0.79460957721484504</v>
      </c>
      <c r="K380">
        <v>7</v>
      </c>
      <c r="L380">
        <v>8</v>
      </c>
      <c r="M380">
        <v>500</v>
      </c>
      <c r="N380" t="s">
        <v>2089</v>
      </c>
      <c r="O380" t="s">
        <v>2113</v>
      </c>
      <c r="P380">
        <v>7775</v>
      </c>
      <c r="Q380">
        <v>4772</v>
      </c>
      <c r="R380" t="s">
        <v>2112</v>
      </c>
      <c r="S380" t="s">
        <v>2111</v>
      </c>
    </row>
    <row r="381" spans="1:19" x14ac:dyDescent="0.2">
      <c r="A381" t="s">
        <v>2116</v>
      </c>
      <c r="B381" t="s">
        <v>2115</v>
      </c>
      <c r="C381">
        <v>10</v>
      </c>
      <c r="D381" t="s">
        <v>388</v>
      </c>
      <c r="E381">
        <v>1</v>
      </c>
      <c r="F381" t="s">
        <v>2114</v>
      </c>
      <c r="G381" t="s">
        <v>118</v>
      </c>
      <c r="H381" t="s">
        <v>117</v>
      </c>
      <c r="I381">
        <v>0.79249255412682995</v>
      </c>
      <c r="J381">
        <v>0.82757860856441601</v>
      </c>
      <c r="K381">
        <v>7</v>
      </c>
      <c r="L381">
        <v>8</v>
      </c>
      <c r="M381">
        <v>500</v>
      </c>
      <c r="N381" t="s">
        <v>2089</v>
      </c>
      <c r="O381" t="s">
        <v>2113</v>
      </c>
      <c r="P381">
        <v>7775</v>
      </c>
      <c r="Q381">
        <v>4772</v>
      </c>
      <c r="R381" t="s">
        <v>2112</v>
      </c>
      <c r="S381" t="s">
        <v>2111</v>
      </c>
    </row>
    <row r="382" spans="1:19" x14ac:dyDescent="0.2">
      <c r="A382" t="s">
        <v>2110</v>
      </c>
      <c r="B382" t="s">
        <v>2109</v>
      </c>
      <c r="C382">
        <v>9</v>
      </c>
      <c r="D382" t="s">
        <v>388</v>
      </c>
      <c r="E382">
        <v>0</v>
      </c>
      <c r="F382" t="s">
        <v>2108</v>
      </c>
      <c r="G382" t="s">
        <v>229</v>
      </c>
      <c r="H382" t="s">
        <v>228</v>
      </c>
      <c r="M382">
        <v>87</v>
      </c>
      <c r="N382" t="s">
        <v>2089</v>
      </c>
      <c r="O382" t="s">
        <v>2107</v>
      </c>
      <c r="P382">
        <v>7776</v>
      </c>
      <c r="Q382">
        <v>4773</v>
      </c>
      <c r="R382" t="s">
        <v>2106</v>
      </c>
      <c r="S382" t="s">
        <v>2105</v>
      </c>
    </row>
    <row r="383" spans="1:19" x14ac:dyDescent="0.2">
      <c r="A383" t="s">
        <v>2104</v>
      </c>
      <c r="B383" t="s">
        <v>2103</v>
      </c>
      <c r="C383">
        <v>9</v>
      </c>
      <c r="D383" t="s">
        <v>388</v>
      </c>
      <c r="E383">
        <v>0</v>
      </c>
      <c r="F383" t="s">
        <v>2102</v>
      </c>
      <c r="G383" t="s">
        <v>229</v>
      </c>
      <c r="H383" t="s">
        <v>228</v>
      </c>
      <c r="M383">
        <v>18</v>
      </c>
      <c r="N383" t="s">
        <v>2089</v>
      </c>
      <c r="O383" t="s">
        <v>2101</v>
      </c>
      <c r="P383">
        <v>7777</v>
      </c>
      <c r="Q383">
        <v>4775</v>
      </c>
      <c r="R383" t="s">
        <v>2100</v>
      </c>
      <c r="S383" t="s">
        <v>2099</v>
      </c>
    </row>
    <row r="384" spans="1:19" x14ac:dyDescent="0.2">
      <c r="A384" t="s">
        <v>2098</v>
      </c>
      <c r="B384" t="s">
        <v>2097</v>
      </c>
      <c r="C384">
        <v>10</v>
      </c>
      <c r="D384" t="s">
        <v>120</v>
      </c>
      <c r="E384">
        <v>0</v>
      </c>
      <c r="F384" t="s">
        <v>2096</v>
      </c>
      <c r="G384" t="s">
        <v>229</v>
      </c>
      <c r="H384" t="s">
        <v>228</v>
      </c>
      <c r="M384">
        <v>19</v>
      </c>
      <c r="N384" t="s">
        <v>2089</v>
      </c>
      <c r="O384" t="s">
        <v>2095</v>
      </c>
      <c r="P384">
        <v>7778</v>
      </c>
      <c r="Q384">
        <v>4776</v>
      </c>
      <c r="R384" t="s">
        <v>2094</v>
      </c>
      <c r="S384" t="s">
        <v>2093</v>
      </c>
    </row>
    <row r="385" spans="1:19" x14ac:dyDescent="0.2">
      <c r="A385" t="s">
        <v>2092</v>
      </c>
      <c r="B385" t="s">
        <v>2091</v>
      </c>
      <c r="C385">
        <v>11</v>
      </c>
      <c r="D385" t="s">
        <v>111</v>
      </c>
      <c r="E385">
        <v>0</v>
      </c>
      <c r="F385" t="s">
        <v>2090</v>
      </c>
      <c r="G385" t="s">
        <v>118</v>
      </c>
      <c r="H385" t="s">
        <v>117</v>
      </c>
      <c r="I385">
        <v>0.70569122827971398</v>
      </c>
      <c r="K385">
        <v>3</v>
      </c>
      <c r="M385">
        <v>500</v>
      </c>
      <c r="N385" t="s">
        <v>2089</v>
      </c>
      <c r="O385" t="s">
        <v>2088</v>
      </c>
      <c r="P385">
        <v>7774</v>
      </c>
      <c r="Q385">
        <v>10725</v>
      </c>
      <c r="R385" t="s">
        <v>2087</v>
      </c>
      <c r="S385" t="s">
        <v>2086</v>
      </c>
    </row>
    <row r="386" spans="1:19" x14ac:dyDescent="0.2">
      <c r="A386" t="s">
        <v>2085</v>
      </c>
      <c r="B386" t="s">
        <v>2084</v>
      </c>
      <c r="C386">
        <v>13</v>
      </c>
      <c r="D386" t="s">
        <v>363</v>
      </c>
      <c r="E386">
        <v>0</v>
      </c>
      <c r="F386" t="s">
        <v>2083</v>
      </c>
      <c r="G386" t="s">
        <v>118</v>
      </c>
      <c r="H386" t="s">
        <v>117</v>
      </c>
      <c r="I386">
        <v>0.93702148885939995</v>
      </c>
      <c r="J386">
        <v>0.99061285945625599</v>
      </c>
      <c r="K386">
        <v>17</v>
      </c>
      <c r="L386">
        <v>9</v>
      </c>
      <c r="M386">
        <v>500</v>
      </c>
      <c r="N386" t="s">
        <v>2082</v>
      </c>
      <c r="O386" t="s">
        <v>2081</v>
      </c>
      <c r="P386">
        <v>7780</v>
      </c>
      <c r="Q386">
        <v>4778</v>
      </c>
      <c r="R386" t="s">
        <v>2080</v>
      </c>
      <c r="S386" t="s">
        <v>2079</v>
      </c>
    </row>
    <row r="387" spans="1:19" x14ac:dyDescent="0.2">
      <c r="A387" t="s">
        <v>2078</v>
      </c>
      <c r="B387" t="s">
        <v>2075</v>
      </c>
      <c r="C387">
        <v>15</v>
      </c>
      <c r="D387" t="s">
        <v>120</v>
      </c>
      <c r="E387">
        <v>0</v>
      </c>
      <c r="F387" t="s">
        <v>2077</v>
      </c>
      <c r="G387" t="s">
        <v>229</v>
      </c>
      <c r="H387" t="s">
        <v>228</v>
      </c>
      <c r="M387">
        <v>233</v>
      </c>
      <c r="N387" t="s">
        <v>2059</v>
      </c>
      <c r="O387" t="s">
        <v>2073</v>
      </c>
      <c r="P387">
        <v>7784</v>
      </c>
      <c r="Q387">
        <v>4774</v>
      </c>
      <c r="R387" t="s">
        <v>2072</v>
      </c>
      <c r="S387" t="s">
        <v>2071</v>
      </c>
    </row>
    <row r="388" spans="1:19" x14ac:dyDescent="0.2">
      <c r="A388" t="s">
        <v>2076</v>
      </c>
      <c r="B388" t="s">
        <v>2075</v>
      </c>
      <c r="C388">
        <v>7</v>
      </c>
      <c r="D388" t="s">
        <v>111</v>
      </c>
      <c r="E388">
        <v>1</v>
      </c>
      <c r="F388" t="s">
        <v>2074</v>
      </c>
      <c r="G388" t="s">
        <v>229</v>
      </c>
      <c r="H388" t="s">
        <v>228</v>
      </c>
      <c r="M388">
        <v>267</v>
      </c>
      <c r="N388" t="s">
        <v>2059</v>
      </c>
      <c r="O388" t="s">
        <v>2073</v>
      </c>
      <c r="P388">
        <v>7784</v>
      </c>
      <c r="Q388">
        <v>4774</v>
      </c>
      <c r="R388" t="s">
        <v>2072</v>
      </c>
      <c r="S388" t="s">
        <v>2071</v>
      </c>
    </row>
    <row r="389" spans="1:19" x14ac:dyDescent="0.2">
      <c r="A389" t="s">
        <v>2070</v>
      </c>
      <c r="B389" t="s">
        <v>2069</v>
      </c>
      <c r="C389">
        <v>9</v>
      </c>
      <c r="D389" t="s">
        <v>111</v>
      </c>
      <c r="E389">
        <v>0</v>
      </c>
      <c r="F389" t="s">
        <v>2068</v>
      </c>
      <c r="G389" t="s">
        <v>118</v>
      </c>
      <c r="H389" t="s">
        <v>117</v>
      </c>
      <c r="I389">
        <v>0.61230617586597502</v>
      </c>
      <c r="J389">
        <v>0.82898595079708204</v>
      </c>
      <c r="K389">
        <v>2</v>
      </c>
      <c r="L389">
        <v>2</v>
      </c>
      <c r="M389">
        <v>500</v>
      </c>
      <c r="N389" t="s">
        <v>2059</v>
      </c>
      <c r="O389" t="s">
        <v>2067</v>
      </c>
      <c r="P389">
        <v>7785</v>
      </c>
      <c r="Q389">
        <v>4781</v>
      </c>
      <c r="R389" t="s">
        <v>2066</v>
      </c>
      <c r="S389" t="s">
        <v>2065</v>
      </c>
    </row>
    <row r="390" spans="1:19" x14ac:dyDescent="0.2">
      <c r="A390" t="s">
        <v>2064</v>
      </c>
      <c r="B390" t="s">
        <v>2061</v>
      </c>
      <c r="C390">
        <v>17</v>
      </c>
      <c r="D390" t="s">
        <v>363</v>
      </c>
      <c r="E390">
        <v>0</v>
      </c>
      <c r="F390" t="s">
        <v>2063</v>
      </c>
      <c r="G390" t="s">
        <v>118</v>
      </c>
      <c r="H390" t="s">
        <v>117</v>
      </c>
      <c r="I390">
        <v>0.94511463188747802</v>
      </c>
      <c r="J390">
        <v>0.47224734611324798</v>
      </c>
      <c r="K390">
        <v>18</v>
      </c>
      <c r="L390">
        <v>1</v>
      </c>
      <c r="M390">
        <v>500</v>
      </c>
      <c r="N390" t="s">
        <v>2059</v>
      </c>
      <c r="O390" t="s">
        <v>2058</v>
      </c>
      <c r="P390">
        <v>7786</v>
      </c>
      <c r="Q390">
        <v>4782</v>
      </c>
      <c r="R390" t="s">
        <v>2057</v>
      </c>
      <c r="S390" t="s">
        <v>2056</v>
      </c>
    </row>
    <row r="391" spans="1:19" x14ac:dyDescent="0.2">
      <c r="A391" t="s">
        <v>2062</v>
      </c>
      <c r="B391" t="s">
        <v>2061</v>
      </c>
      <c r="C391">
        <v>9</v>
      </c>
      <c r="D391" t="s">
        <v>363</v>
      </c>
      <c r="E391">
        <v>1</v>
      </c>
      <c r="F391" t="s">
        <v>2060</v>
      </c>
      <c r="G391" t="s">
        <v>118</v>
      </c>
      <c r="H391" t="s">
        <v>117</v>
      </c>
      <c r="I391">
        <v>0.93242131293667296</v>
      </c>
      <c r="J391">
        <v>0.83108628243142302</v>
      </c>
      <c r="K391">
        <v>18</v>
      </c>
      <c r="L391">
        <v>1</v>
      </c>
      <c r="M391">
        <v>500</v>
      </c>
      <c r="N391" t="s">
        <v>2059</v>
      </c>
      <c r="O391" t="s">
        <v>2058</v>
      </c>
      <c r="P391">
        <v>7786</v>
      </c>
      <c r="Q391">
        <v>4782</v>
      </c>
      <c r="R391" t="s">
        <v>2057</v>
      </c>
      <c r="S391" t="s">
        <v>2056</v>
      </c>
    </row>
    <row r="392" spans="1:19" x14ac:dyDescent="0.2">
      <c r="A392" t="s">
        <v>2055</v>
      </c>
      <c r="B392" t="s">
        <v>2054</v>
      </c>
      <c r="C392">
        <v>11</v>
      </c>
      <c r="D392" t="s">
        <v>111</v>
      </c>
      <c r="E392">
        <v>0</v>
      </c>
      <c r="F392" t="s">
        <v>2053</v>
      </c>
      <c r="G392" t="s">
        <v>118</v>
      </c>
      <c r="H392" t="s">
        <v>117</v>
      </c>
      <c r="I392">
        <v>0.542605111462094</v>
      </c>
      <c r="J392">
        <v>0.868931946218514</v>
      </c>
      <c r="K392">
        <v>2</v>
      </c>
      <c r="L392">
        <v>2</v>
      </c>
      <c r="M392">
        <v>501</v>
      </c>
      <c r="N392" t="s">
        <v>869</v>
      </c>
      <c r="O392" t="s">
        <v>868</v>
      </c>
      <c r="P392">
        <v>7787</v>
      </c>
      <c r="Q392">
        <v>4783</v>
      </c>
      <c r="R392" t="s">
        <v>2052</v>
      </c>
      <c r="S392" t="s">
        <v>2051</v>
      </c>
    </row>
    <row r="393" spans="1:19" x14ac:dyDescent="0.2">
      <c r="A393" t="s">
        <v>2050</v>
      </c>
      <c r="B393" t="s">
        <v>2049</v>
      </c>
      <c r="C393">
        <v>11</v>
      </c>
      <c r="D393" t="s">
        <v>388</v>
      </c>
      <c r="E393">
        <v>1</v>
      </c>
      <c r="F393" t="s">
        <v>2048</v>
      </c>
      <c r="G393" t="s">
        <v>118</v>
      </c>
      <c r="H393" t="s">
        <v>117</v>
      </c>
      <c r="I393">
        <v>0.72636228409042003</v>
      </c>
      <c r="J393">
        <v>0.952595004048297</v>
      </c>
      <c r="K393">
        <v>7</v>
      </c>
      <c r="L393">
        <v>16</v>
      </c>
      <c r="M393">
        <v>503</v>
      </c>
      <c r="N393" t="s">
        <v>858</v>
      </c>
      <c r="O393" t="s">
        <v>2042</v>
      </c>
      <c r="P393">
        <v>7794</v>
      </c>
      <c r="Q393">
        <v>4790</v>
      </c>
      <c r="R393" t="s">
        <v>2047</v>
      </c>
      <c r="S393" t="s">
        <v>2046</v>
      </c>
    </row>
    <row r="394" spans="1:19" x14ac:dyDescent="0.2">
      <c r="A394" t="s">
        <v>2045</v>
      </c>
      <c r="B394" t="s">
        <v>2044</v>
      </c>
      <c r="C394">
        <v>11</v>
      </c>
      <c r="D394" t="s">
        <v>388</v>
      </c>
      <c r="E394">
        <v>0</v>
      </c>
      <c r="F394" t="s">
        <v>2043</v>
      </c>
      <c r="G394" t="s">
        <v>118</v>
      </c>
      <c r="H394" t="s">
        <v>117</v>
      </c>
      <c r="I394">
        <v>0.97652401428908397</v>
      </c>
      <c r="K394">
        <v>4</v>
      </c>
      <c r="M394">
        <v>500</v>
      </c>
      <c r="N394" t="s">
        <v>858</v>
      </c>
      <c r="O394" t="s">
        <v>2042</v>
      </c>
      <c r="P394">
        <v>7795</v>
      </c>
      <c r="Q394">
        <v>4791</v>
      </c>
      <c r="R394" t="s">
        <v>2041</v>
      </c>
      <c r="S394" t="s">
        <v>2040</v>
      </c>
    </row>
    <row r="395" spans="1:19" x14ac:dyDescent="0.2">
      <c r="A395" t="s">
        <v>2039</v>
      </c>
      <c r="B395" t="s">
        <v>10</v>
      </c>
      <c r="C395">
        <v>14</v>
      </c>
      <c r="D395" t="s">
        <v>363</v>
      </c>
      <c r="E395">
        <v>0</v>
      </c>
      <c r="F395" t="s">
        <v>2038</v>
      </c>
      <c r="G395" t="s">
        <v>118</v>
      </c>
      <c r="H395" t="s">
        <v>117</v>
      </c>
      <c r="I395">
        <v>0.98205964919831001</v>
      </c>
      <c r="J395">
        <v>0.96005175301077905</v>
      </c>
      <c r="K395">
        <v>19</v>
      </c>
      <c r="L395">
        <v>14</v>
      </c>
      <c r="M395">
        <v>500</v>
      </c>
      <c r="N395" t="s">
        <v>2025</v>
      </c>
      <c r="O395" t="s">
        <v>2037</v>
      </c>
      <c r="P395">
        <v>7804</v>
      </c>
      <c r="Q395">
        <v>4800</v>
      </c>
      <c r="R395" t="s">
        <v>2036</v>
      </c>
      <c r="S395" t="s">
        <v>2035</v>
      </c>
    </row>
    <row r="396" spans="1:19" x14ac:dyDescent="0.2">
      <c r="A396" t="s">
        <v>2034</v>
      </c>
      <c r="B396" t="s">
        <v>2033</v>
      </c>
      <c r="C396">
        <v>13</v>
      </c>
      <c r="D396" t="s">
        <v>363</v>
      </c>
      <c r="E396">
        <v>0</v>
      </c>
      <c r="F396" t="s">
        <v>2032</v>
      </c>
      <c r="G396" t="s">
        <v>229</v>
      </c>
      <c r="H396" t="s">
        <v>228</v>
      </c>
      <c r="I396">
        <v>0.98701734832926702</v>
      </c>
      <c r="J396">
        <v>0.99684841480996</v>
      </c>
      <c r="K396">
        <v>4</v>
      </c>
      <c r="L396">
        <v>4</v>
      </c>
      <c r="M396">
        <v>1163</v>
      </c>
      <c r="N396" t="s">
        <v>2025</v>
      </c>
      <c r="O396" t="s">
        <v>2031</v>
      </c>
      <c r="P396">
        <v>7805</v>
      </c>
      <c r="Q396">
        <v>4801</v>
      </c>
      <c r="R396" t="s">
        <v>2030</v>
      </c>
      <c r="S396" t="s">
        <v>2029</v>
      </c>
    </row>
    <row r="397" spans="1:19" x14ac:dyDescent="0.2">
      <c r="A397" t="s">
        <v>2028</v>
      </c>
      <c r="B397" t="s">
        <v>2027</v>
      </c>
      <c r="C397">
        <v>14</v>
      </c>
      <c r="D397" t="s">
        <v>363</v>
      </c>
      <c r="E397">
        <v>0</v>
      </c>
      <c r="F397" t="s">
        <v>2026</v>
      </c>
      <c r="G397" t="s">
        <v>118</v>
      </c>
      <c r="H397" t="s">
        <v>117</v>
      </c>
      <c r="I397">
        <v>0.86567663371268</v>
      </c>
      <c r="J397">
        <v>0.98413322588295504</v>
      </c>
      <c r="K397">
        <v>4</v>
      </c>
      <c r="L397">
        <v>4</v>
      </c>
      <c r="M397">
        <v>427</v>
      </c>
      <c r="N397" t="s">
        <v>2025</v>
      </c>
      <c r="O397" t="s">
        <v>2024</v>
      </c>
      <c r="P397">
        <v>7806</v>
      </c>
      <c r="Q397">
        <v>4802</v>
      </c>
      <c r="R397" t="s">
        <v>2023</v>
      </c>
      <c r="S397" t="s">
        <v>2022</v>
      </c>
    </row>
    <row r="398" spans="1:19" x14ac:dyDescent="0.2">
      <c r="A398" t="s">
        <v>2021</v>
      </c>
      <c r="B398" t="s">
        <v>2020</v>
      </c>
      <c r="C398">
        <v>12</v>
      </c>
      <c r="D398" t="s">
        <v>111</v>
      </c>
      <c r="E398">
        <v>0</v>
      </c>
      <c r="F398" t="s">
        <v>2019</v>
      </c>
      <c r="G398" t="s">
        <v>118</v>
      </c>
      <c r="H398" t="s">
        <v>117</v>
      </c>
      <c r="J398">
        <v>0.97660401972209698</v>
      </c>
      <c r="L398">
        <v>4</v>
      </c>
      <c r="M398">
        <v>206</v>
      </c>
      <c r="N398" t="s">
        <v>753</v>
      </c>
      <c r="O398" t="s">
        <v>1815</v>
      </c>
      <c r="P398">
        <v>13805</v>
      </c>
      <c r="Q398">
        <v>63973</v>
      </c>
      <c r="R398" t="s">
        <v>2018</v>
      </c>
      <c r="S398" t="s">
        <v>2017</v>
      </c>
    </row>
    <row r="399" spans="1:19" x14ac:dyDescent="0.2">
      <c r="A399" t="s">
        <v>2016</v>
      </c>
      <c r="B399" t="s">
        <v>2015</v>
      </c>
      <c r="C399">
        <v>10</v>
      </c>
      <c r="D399" t="s">
        <v>363</v>
      </c>
      <c r="E399">
        <v>0</v>
      </c>
      <c r="F399" t="s">
        <v>2014</v>
      </c>
      <c r="G399" t="s">
        <v>118</v>
      </c>
      <c r="H399" t="s">
        <v>117</v>
      </c>
      <c r="I399">
        <v>0.92031118179468896</v>
      </c>
      <c r="J399">
        <v>0.91689661703700898</v>
      </c>
      <c r="K399">
        <v>14</v>
      </c>
      <c r="L399">
        <v>9</v>
      </c>
      <c r="M399">
        <v>501</v>
      </c>
      <c r="N399" t="s">
        <v>691</v>
      </c>
      <c r="O399" t="s">
        <v>2013</v>
      </c>
      <c r="P399">
        <v>11825</v>
      </c>
      <c r="Q399">
        <v>7080</v>
      </c>
      <c r="R399" t="s">
        <v>2012</v>
      </c>
      <c r="S399" t="s">
        <v>2011</v>
      </c>
    </row>
    <row r="400" spans="1:19" x14ac:dyDescent="0.2">
      <c r="A400" t="s">
        <v>2010</v>
      </c>
      <c r="B400" t="s">
        <v>2009</v>
      </c>
      <c r="C400">
        <v>8</v>
      </c>
      <c r="D400" t="s">
        <v>111</v>
      </c>
      <c r="E400">
        <v>0</v>
      </c>
      <c r="F400" t="s">
        <v>2008</v>
      </c>
      <c r="G400" t="s">
        <v>118</v>
      </c>
      <c r="H400" t="s">
        <v>117</v>
      </c>
      <c r="I400">
        <v>0.49199189349970801</v>
      </c>
      <c r="J400">
        <v>0.78898440949168103</v>
      </c>
      <c r="K400">
        <v>2</v>
      </c>
      <c r="L400">
        <v>5</v>
      </c>
      <c r="M400">
        <v>500</v>
      </c>
      <c r="N400" t="s">
        <v>691</v>
      </c>
      <c r="O400" t="s">
        <v>1991</v>
      </c>
      <c r="P400">
        <v>7835</v>
      </c>
      <c r="Q400">
        <v>4821</v>
      </c>
      <c r="R400" t="s">
        <v>2007</v>
      </c>
      <c r="S400" t="s">
        <v>2006</v>
      </c>
    </row>
    <row r="401" spans="1:19" x14ac:dyDescent="0.2">
      <c r="A401" t="s">
        <v>2005</v>
      </c>
      <c r="B401" t="s">
        <v>2004</v>
      </c>
      <c r="C401">
        <v>11</v>
      </c>
      <c r="D401" t="s">
        <v>111</v>
      </c>
      <c r="E401">
        <v>0</v>
      </c>
      <c r="F401" t="s">
        <v>2003</v>
      </c>
      <c r="G401" t="s">
        <v>109</v>
      </c>
      <c r="H401" t="s">
        <v>108</v>
      </c>
      <c r="M401">
        <v>1260</v>
      </c>
      <c r="N401" t="s">
        <v>691</v>
      </c>
      <c r="O401" t="s">
        <v>1997</v>
      </c>
      <c r="P401">
        <v>7836</v>
      </c>
      <c r="Q401">
        <v>159296</v>
      </c>
      <c r="R401" t="s">
        <v>2002</v>
      </c>
      <c r="S401" t="s">
        <v>2001</v>
      </c>
    </row>
    <row r="402" spans="1:19" x14ac:dyDescent="0.2">
      <c r="A402" t="s">
        <v>2000</v>
      </c>
      <c r="B402" t="s">
        <v>1999</v>
      </c>
      <c r="C402">
        <v>8</v>
      </c>
      <c r="D402" t="s">
        <v>388</v>
      </c>
      <c r="E402">
        <v>0</v>
      </c>
      <c r="F402" t="s">
        <v>1998</v>
      </c>
      <c r="G402" t="s">
        <v>118</v>
      </c>
      <c r="H402" t="s">
        <v>117</v>
      </c>
      <c r="I402">
        <v>0.697453175191317</v>
      </c>
      <c r="J402">
        <v>0.85959018356279304</v>
      </c>
      <c r="K402">
        <v>2</v>
      </c>
      <c r="L402">
        <v>7</v>
      </c>
      <c r="M402">
        <v>499</v>
      </c>
      <c r="N402" t="s">
        <v>691</v>
      </c>
      <c r="O402" t="s">
        <v>1997</v>
      </c>
      <c r="P402">
        <v>2488</v>
      </c>
      <c r="Q402">
        <v>1482</v>
      </c>
      <c r="R402" t="s">
        <v>1996</v>
      </c>
      <c r="S402" t="s">
        <v>1995</v>
      </c>
    </row>
    <row r="403" spans="1:19" x14ac:dyDescent="0.2">
      <c r="A403" t="s">
        <v>1994</v>
      </c>
      <c r="B403" t="s">
        <v>1993</v>
      </c>
      <c r="C403">
        <v>9</v>
      </c>
      <c r="D403" t="s">
        <v>120</v>
      </c>
      <c r="E403">
        <v>0</v>
      </c>
      <c r="F403" t="s">
        <v>1992</v>
      </c>
      <c r="G403" t="s">
        <v>229</v>
      </c>
      <c r="H403" t="s">
        <v>228</v>
      </c>
      <c r="M403">
        <v>6</v>
      </c>
      <c r="N403" t="s">
        <v>691</v>
      </c>
      <c r="O403" t="s">
        <v>1991</v>
      </c>
      <c r="P403">
        <v>16364</v>
      </c>
      <c r="Q403">
        <v>26257</v>
      </c>
      <c r="R403" t="s">
        <v>1990</v>
      </c>
      <c r="S403" t="s">
        <v>1989</v>
      </c>
    </row>
    <row r="404" spans="1:19" x14ac:dyDescent="0.2">
      <c r="A404" t="s">
        <v>1988</v>
      </c>
      <c r="B404" t="s">
        <v>1987</v>
      </c>
      <c r="C404">
        <v>12</v>
      </c>
      <c r="D404" t="s">
        <v>120</v>
      </c>
      <c r="E404">
        <v>0</v>
      </c>
      <c r="F404" t="s">
        <v>1986</v>
      </c>
      <c r="G404" t="s">
        <v>118</v>
      </c>
      <c r="H404" t="s">
        <v>117</v>
      </c>
      <c r="I404">
        <v>0.79154978237778995</v>
      </c>
      <c r="J404">
        <v>0.66187953952124101</v>
      </c>
      <c r="K404">
        <v>11</v>
      </c>
      <c r="L404">
        <v>10</v>
      </c>
      <c r="M404">
        <v>501</v>
      </c>
      <c r="N404" t="s">
        <v>691</v>
      </c>
      <c r="O404" t="s">
        <v>1980</v>
      </c>
      <c r="P404">
        <v>7838</v>
      </c>
      <c r="Q404">
        <v>4824</v>
      </c>
      <c r="R404" t="s">
        <v>1985</v>
      </c>
      <c r="S404" t="s">
        <v>1984</v>
      </c>
    </row>
    <row r="405" spans="1:19" x14ac:dyDescent="0.2">
      <c r="A405" t="s">
        <v>1983</v>
      </c>
      <c r="B405" t="s">
        <v>1982</v>
      </c>
      <c r="C405">
        <v>10</v>
      </c>
      <c r="D405" t="s">
        <v>120</v>
      </c>
      <c r="E405">
        <v>0</v>
      </c>
      <c r="F405" t="s">
        <v>1981</v>
      </c>
      <c r="G405" t="s">
        <v>118</v>
      </c>
      <c r="H405" t="s">
        <v>117</v>
      </c>
      <c r="J405">
        <v>0.98247839699237804</v>
      </c>
      <c r="L405">
        <v>6</v>
      </c>
      <c r="M405">
        <v>501</v>
      </c>
      <c r="N405" t="s">
        <v>691</v>
      </c>
      <c r="O405" t="s">
        <v>1980</v>
      </c>
      <c r="P405">
        <v>951</v>
      </c>
      <c r="Q405">
        <v>579</v>
      </c>
      <c r="R405" t="s">
        <v>1979</v>
      </c>
      <c r="S405" t="s">
        <v>1978</v>
      </c>
    </row>
    <row r="406" spans="1:19" x14ac:dyDescent="0.2">
      <c r="A406" t="s">
        <v>1977</v>
      </c>
      <c r="B406" t="s">
        <v>1974</v>
      </c>
      <c r="C406">
        <v>19</v>
      </c>
      <c r="D406" t="s">
        <v>388</v>
      </c>
      <c r="E406">
        <v>0</v>
      </c>
      <c r="F406" t="s">
        <v>1976</v>
      </c>
      <c r="G406" t="s">
        <v>118</v>
      </c>
      <c r="H406" t="s">
        <v>117</v>
      </c>
      <c r="I406">
        <v>0.43273597774886502</v>
      </c>
      <c r="J406">
        <v>0.96078831353776795</v>
      </c>
      <c r="K406">
        <v>3</v>
      </c>
      <c r="L406">
        <v>8</v>
      </c>
      <c r="M406">
        <v>500</v>
      </c>
      <c r="N406" t="s">
        <v>691</v>
      </c>
      <c r="O406" t="s">
        <v>1967</v>
      </c>
      <c r="P406">
        <v>7839</v>
      </c>
      <c r="Q406">
        <v>4825</v>
      </c>
      <c r="R406" t="s">
        <v>1972</v>
      </c>
      <c r="S406" t="s">
        <v>1971</v>
      </c>
    </row>
    <row r="407" spans="1:19" x14ac:dyDescent="0.2">
      <c r="A407" t="s">
        <v>1975</v>
      </c>
      <c r="B407" t="s">
        <v>1974</v>
      </c>
      <c r="C407">
        <v>7</v>
      </c>
      <c r="D407" t="s">
        <v>388</v>
      </c>
      <c r="E407">
        <v>1</v>
      </c>
      <c r="F407" t="s">
        <v>1973</v>
      </c>
      <c r="G407" t="s">
        <v>118</v>
      </c>
      <c r="H407" t="s">
        <v>117</v>
      </c>
      <c r="I407">
        <v>0.54743022744877101</v>
      </c>
      <c r="J407">
        <v>0.84635545619152497</v>
      </c>
      <c r="K407">
        <v>3</v>
      </c>
      <c r="L407">
        <v>8</v>
      </c>
      <c r="M407">
        <v>500</v>
      </c>
      <c r="N407" t="s">
        <v>691</v>
      </c>
      <c r="O407" t="s">
        <v>1967</v>
      </c>
      <c r="P407">
        <v>7839</v>
      </c>
      <c r="Q407">
        <v>4825</v>
      </c>
      <c r="R407" t="s">
        <v>1972</v>
      </c>
      <c r="S407" t="s">
        <v>1971</v>
      </c>
    </row>
    <row r="408" spans="1:19" x14ac:dyDescent="0.2">
      <c r="A408" t="s">
        <v>1970</v>
      </c>
      <c r="B408" t="s">
        <v>1969</v>
      </c>
      <c r="C408">
        <v>11</v>
      </c>
      <c r="D408" t="s">
        <v>111</v>
      </c>
      <c r="E408">
        <v>0</v>
      </c>
      <c r="F408" t="s">
        <v>1968</v>
      </c>
      <c r="G408" t="s">
        <v>109</v>
      </c>
      <c r="H408" t="s">
        <v>108</v>
      </c>
      <c r="M408">
        <v>8076</v>
      </c>
      <c r="N408" t="s">
        <v>691</v>
      </c>
      <c r="O408" t="s">
        <v>1967</v>
      </c>
      <c r="P408">
        <v>19321</v>
      </c>
      <c r="Q408">
        <v>84504</v>
      </c>
      <c r="R408" t="s">
        <v>1966</v>
      </c>
      <c r="S408" t="s">
        <v>1965</v>
      </c>
    </row>
    <row r="409" spans="1:19" x14ac:dyDescent="0.2">
      <c r="A409" t="s">
        <v>1964</v>
      </c>
      <c r="B409" t="s">
        <v>1963</v>
      </c>
      <c r="C409">
        <v>9</v>
      </c>
      <c r="D409" t="s">
        <v>120</v>
      </c>
      <c r="E409">
        <v>0</v>
      </c>
      <c r="F409" t="s">
        <v>1962</v>
      </c>
      <c r="G409" t="s">
        <v>229</v>
      </c>
      <c r="H409" t="s">
        <v>228</v>
      </c>
      <c r="M409">
        <v>66</v>
      </c>
      <c r="N409" t="s">
        <v>671</v>
      </c>
      <c r="O409" t="s">
        <v>1961</v>
      </c>
      <c r="P409">
        <v>22448</v>
      </c>
      <c r="Q409">
        <v>135935</v>
      </c>
      <c r="R409" t="s">
        <v>1960</v>
      </c>
      <c r="S409" t="s">
        <v>1959</v>
      </c>
    </row>
    <row r="410" spans="1:19" x14ac:dyDescent="0.2">
      <c r="A410" t="s">
        <v>1958</v>
      </c>
      <c r="B410" t="s">
        <v>1957</v>
      </c>
      <c r="C410">
        <v>11</v>
      </c>
      <c r="D410" t="s">
        <v>111</v>
      </c>
      <c r="E410">
        <v>0</v>
      </c>
      <c r="F410" t="s">
        <v>1956</v>
      </c>
      <c r="G410" t="s">
        <v>109</v>
      </c>
      <c r="H410" t="s">
        <v>108</v>
      </c>
      <c r="M410">
        <v>26150</v>
      </c>
      <c r="N410" t="s">
        <v>691</v>
      </c>
      <c r="O410" t="s">
        <v>1955</v>
      </c>
      <c r="P410">
        <v>31839</v>
      </c>
      <c r="Q410">
        <v>344022</v>
      </c>
      <c r="R410" t="s">
        <v>1954</v>
      </c>
      <c r="S410" t="s">
        <v>1953</v>
      </c>
    </row>
    <row r="411" spans="1:19" x14ac:dyDescent="0.2">
      <c r="A411" t="s">
        <v>1952</v>
      </c>
      <c r="B411" t="s">
        <v>1951</v>
      </c>
      <c r="C411">
        <v>10</v>
      </c>
      <c r="D411" t="s">
        <v>111</v>
      </c>
      <c r="E411">
        <v>0</v>
      </c>
      <c r="F411" t="s">
        <v>1950</v>
      </c>
      <c r="G411" t="s">
        <v>229</v>
      </c>
      <c r="H411" t="s">
        <v>228</v>
      </c>
      <c r="M411">
        <v>9</v>
      </c>
      <c r="N411" t="s">
        <v>1949</v>
      </c>
      <c r="O411" t="s">
        <v>1948</v>
      </c>
      <c r="P411">
        <v>7960</v>
      </c>
      <c r="Q411">
        <v>190</v>
      </c>
      <c r="R411" t="s">
        <v>1947</v>
      </c>
      <c r="S411" t="s">
        <v>1946</v>
      </c>
    </row>
    <row r="412" spans="1:19" x14ac:dyDescent="0.2">
      <c r="A412" t="s">
        <v>1945</v>
      </c>
      <c r="B412" t="s">
        <v>1942</v>
      </c>
      <c r="C412">
        <v>19</v>
      </c>
      <c r="D412" t="s">
        <v>388</v>
      </c>
      <c r="E412">
        <v>0</v>
      </c>
      <c r="F412" t="s">
        <v>1944</v>
      </c>
      <c r="G412" t="s">
        <v>118</v>
      </c>
      <c r="H412" t="s">
        <v>117</v>
      </c>
      <c r="I412">
        <v>0.61464136347641696</v>
      </c>
      <c r="J412">
        <v>0.882619649581324</v>
      </c>
      <c r="K412">
        <v>1</v>
      </c>
      <c r="L412">
        <v>53</v>
      </c>
      <c r="M412">
        <v>501</v>
      </c>
      <c r="N412" t="s">
        <v>698</v>
      </c>
      <c r="O412" t="s">
        <v>1940</v>
      </c>
      <c r="P412">
        <v>7962</v>
      </c>
      <c r="Q412">
        <v>9572</v>
      </c>
      <c r="R412" t="s">
        <v>1939</v>
      </c>
      <c r="S412" t="s">
        <v>1938</v>
      </c>
    </row>
    <row r="413" spans="1:19" x14ac:dyDescent="0.2">
      <c r="A413" t="s">
        <v>1943</v>
      </c>
      <c r="B413" t="s">
        <v>1942</v>
      </c>
      <c r="C413">
        <v>14</v>
      </c>
      <c r="D413" t="s">
        <v>111</v>
      </c>
      <c r="E413">
        <v>1</v>
      </c>
      <c r="F413" t="s">
        <v>1941</v>
      </c>
      <c r="G413" t="s">
        <v>229</v>
      </c>
      <c r="H413" t="s">
        <v>228</v>
      </c>
      <c r="I413">
        <v>0.41863289627700001</v>
      </c>
      <c r="J413">
        <v>0.759163966006283</v>
      </c>
      <c r="K413">
        <v>1</v>
      </c>
      <c r="L413">
        <v>53</v>
      </c>
      <c r="M413">
        <v>13</v>
      </c>
      <c r="N413" t="s">
        <v>698</v>
      </c>
      <c r="O413" t="s">
        <v>1940</v>
      </c>
      <c r="P413">
        <v>7962</v>
      </c>
      <c r="Q413">
        <v>9572</v>
      </c>
      <c r="R413" t="s">
        <v>1939</v>
      </c>
      <c r="S413" t="s">
        <v>1938</v>
      </c>
    </row>
    <row r="414" spans="1:19" x14ac:dyDescent="0.2">
      <c r="A414" t="s">
        <v>1937</v>
      </c>
      <c r="B414" t="s">
        <v>1936</v>
      </c>
      <c r="C414">
        <v>19</v>
      </c>
      <c r="D414" t="s">
        <v>111</v>
      </c>
      <c r="E414">
        <v>0</v>
      </c>
      <c r="F414" t="s">
        <v>1935</v>
      </c>
      <c r="G414" t="s">
        <v>229</v>
      </c>
      <c r="H414" t="s">
        <v>228</v>
      </c>
      <c r="M414">
        <v>24</v>
      </c>
      <c r="N414" t="s">
        <v>698</v>
      </c>
      <c r="O414" t="s">
        <v>1920</v>
      </c>
      <c r="P414">
        <v>7965</v>
      </c>
      <c r="Q414">
        <v>7376</v>
      </c>
      <c r="R414" t="s">
        <v>1934</v>
      </c>
      <c r="S414" t="s">
        <v>1933</v>
      </c>
    </row>
    <row r="415" spans="1:19" x14ac:dyDescent="0.2">
      <c r="A415" t="s">
        <v>1932</v>
      </c>
      <c r="B415" t="s">
        <v>1929</v>
      </c>
      <c r="C415">
        <v>19</v>
      </c>
      <c r="D415" t="s">
        <v>388</v>
      </c>
      <c r="E415">
        <v>0</v>
      </c>
      <c r="F415" t="s">
        <v>1931</v>
      </c>
      <c r="G415" t="s">
        <v>118</v>
      </c>
      <c r="H415" t="s">
        <v>117</v>
      </c>
      <c r="I415">
        <v>0.76994113949260101</v>
      </c>
      <c r="J415">
        <v>0.85976249910497604</v>
      </c>
      <c r="K415">
        <v>13</v>
      </c>
      <c r="L415">
        <v>10</v>
      </c>
      <c r="M415">
        <v>500</v>
      </c>
      <c r="N415" t="s">
        <v>698</v>
      </c>
      <c r="O415" t="s">
        <v>1920</v>
      </c>
      <c r="P415">
        <v>7966</v>
      </c>
      <c r="Q415">
        <v>10062</v>
      </c>
      <c r="R415" t="s">
        <v>1927</v>
      </c>
      <c r="S415" t="s">
        <v>1926</v>
      </c>
    </row>
    <row r="416" spans="1:19" x14ac:dyDescent="0.2">
      <c r="A416" t="s">
        <v>1930</v>
      </c>
      <c r="B416" t="s">
        <v>1929</v>
      </c>
      <c r="C416">
        <v>10</v>
      </c>
      <c r="D416" t="s">
        <v>388</v>
      </c>
      <c r="E416">
        <v>1</v>
      </c>
      <c r="F416" t="s">
        <v>1928</v>
      </c>
      <c r="G416" t="s">
        <v>118</v>
      </c>
      <c r="H416" t="s">
        <v>117</v>
      </c>
      <c r="I416">
        <v>0.76072992355675895</v>
      </c>
      <c r="J416">
        <v>0.90309323979541101</v>
      </c>
      <c r="K416">
        <v>13</v>
      </c>
      <c r="L416">
        <v>10</v>
      </c>
      <c r="M416">
        <v>500</v>
      </c>
      <c r="N416" t="s">
        <v>698</v>
      </c>
      <c r="O416" t="s">
        <v>1920</v>
      </c>
      <c r="P416">
        <v>7966</v>
      </c>
      <c r="Q416">
        <v>10062</v>
      </c>
      <c r="R416" t="s">
        <v>1927</v>
      </c>
      <c r="S416" t="s">
        <v>1926</v>
      </c>
    </row>
    <row r="417" spans="1:19" x14ac:dyDescent="0.2">
      <c r="A417" t="s">
        <v>1925</v>
      </c>
      <c r="B417" t="s">
        <v>1922</v>
      </c>
      <c r="C417">
        <v>19</v>
      </c>
      <c r="D417" t="s">
        <v>388</v>
      </c>
      <c r="E417">
        <v>0</v>
      </c>
      <c r="F417" t="s">
        <v>1924</v>
      </c>
      <c r="G417" t="s">
        <v>118</v>
      </c>
      <c r="H417" t="s">
        <v>117</v>
      </c>
      <c r="J417">
        <v>0.925590933069663</v>
      </c>
      <c r="L417">
        <v>15</v>
      </c>
      <c r="M417">
        <v>451</v>
      </c>
      <c r="N417" t="s">
        <v>698</v>
      </c>
      <c r="O417" t="s">
        <v>1920</v>
      </c>
      <c r="P417">
        <v>7967</v>
      </c>
      <c r="Q417">
        <v>9971</v>
      </c>
      <c r="R417" t="s">
        <v>1919</v>
      </c>
      <c r="S417" t="s">
        <v>1918</v>
      </c>
    </row>
    <row r="418" spans="1:19" x14ac:dyDescent="0.2">
      <c r="A418" t="s">
        <v>1923</v>
      </c>
      <c r="B418" t="s">
        <v>1922</v>
      </c>
      <c r="C418">
        <v>8</v>
      </c>
      <c r="D418" t="s">
        <v>388</v>
      </c>
      <c r="E418">
        <v>1</v>
      </c>
      <c r="F418" t="s">
        <v>1921</v>
      </c>
      <c r="G418" t="s">
        <v>118</v>
      </c>
      <c r="H418" t="s">
        <v>117</v>
      </c>
      <c r="J418">
        <v>0.84906356472556699</v>
      </c>
      <c r="L418">
        <v>15</v>
      </c>
      <c r="M418">
        <v>501</v>
      </c>
      <c r="N418" t="s">
        <v>698</v>
      </c>
      <c r="O418" t="s">
        <v>1920</v>
      </c>
      <c r="P418">
        <v>7967</v>
      </c>
      <c r="Q418">
        <v>9971</v>
      </c>
      <c r="R418" t="s">
        <v>1919</v>
      </c>
      <c r="S418" t="s">
        <v>1918</v>
      </c>
    </row>
    <row r="419" spans="1:19" x14ac:dyDescent="0.2">
      <c r="A419" t="s">
        <v>1917</v>
      </c>
      <c r="B419" t="s">
        <v>1914</v>
      </c>
      <c r="C419">
        <v>19</v>
      </c>
      <c r="D419" t="s">
        <v>120</v>
      </c>
      <c r="E419">
        <v>0</v>
      </c>
      <c r="F419" t="s">
        <v>1916</v>
      </c>
      <c r="G419" t="s">
        <v>229</v>
      </c>
      <c r="H419" t="s">
        <v>228</v>
      </c>
      <c r="M419">
        <v>29</v>
      </c>
      <c r="N419" t="s">
        <v>698</v>
      </c>
      <c r="O419" t="s">
        <v>697</v>
      </c>
      <c r="P419">
        <v>7968</v>
      </c>
      <c r="Q419">
        <v>8856</v>
      </c>
      <c r="R419" t="s">
        <v>1912</v>
      </c>
      <c r="S419" t="s">
        <v>1911</v>
      </c>
    </row>
    <row r="420" spans="1:19" x14ac:dyDescent="0.2">
      <c r="A420" t="s">
        <v>1915</v>
      </c>
      <c r="B420" t="s">
        <v>1914</v>
      </c>
      <c r="C420">
        <v>8</v>
      </c>
      <c r="D420" t="s">
        <v>111</v>
      </c>
      <c r="E420">
        <v>1</v>
      </c>
      <c r="F420" t="s">
        <v>1913</v>
      </c>
      <c r="G420" t="s">
        <v>229</v>
      </c>
      <c r="H420" t="s">
        <v>228</v>
      </c>
      <c r="M420">
        <v>45</v>
      </c>
      <c r="N420" t="s">
        <v>698</v>
      </c>
      <c r="O420" t="s">
        <v>697</v>
      </c>
      <c r="P420">
        <v>7968</v>
      </c>
      <c r="Q420">
        <v>8856</v>
      </c>
      <c r="R420" t="s">
        <v>1912</v>
      </c>
      <c r="S420" t="s">
        <v>1911</v>
      </c>
    </row>
    <row r="421" spans="1:19" x14ac:dyDescent="0.2">
      <c r="A421" t="s">
        <v>1910</v>
      </c>
      <c r="B421" t="s">
        <v>1907</v>
      </c>
      <c r="C421">
        <v>18</v>
      </c>
      <c r="D421" t="s">
        <v>120</v>
      </c>
      <c r="E421">
        <v>0</v>
      </c>
      <c r="F421" t="s">
        <v>1909</v>
      </c>
      <c r="G421" t="s">
        <v>229</v>
      </c>
      <c r="H421" t="s">
        <v>228</v>
      </c>
      <c r="M421">
        <v>28</v>
      </c>
      <c r="N421" t="s">
        <v>698</v>
      </c>
      <c r="O421" t="s">
        <v>697</v>
      </c>
      <c r="P421">
        <v>7969</v>
      </c>
      <c r="Q421">
        <v>9970</v>
      </c>
      <c r="R421" t="s">
        <v>1905</v>
      </c>
      <c r="S421" t="s">
        <v>1904</v>
      </c>
    </row>
    <row r="422" spans="1:19" x14ac:dyDescent="0.2">
      <c r="A422" t="s">
        <v>1908</v>
      </c>
      <c r="B422" t="s">
        <v>1907</v>
      </c>
      <c r="C422">
        <v>8</v>
      </c>
      <c r="D422" t="s">
        <v>111</v>
      </c>
      <c r="E422">
        <v>1</v>
      </c>
      <c r="F422" t="s">
        <v>1906</v>
      </c>
      <c r="G422" t="s">
        <v>229</v>
      </c>
      <c r="H422" t="s">
        <v>228</v>
      </c>
      <c r="M422">
        <v>33</v>
      </c>
      <c r="N422" t="s">
        <v>698</v>
      </c>
      <c r="O422" t="s">
        <v>697</v>
      </c>
      <c r="P422">
        <v>7969</v>
      </c>
      <c r="Q422">
        <v>9970</v>
      </c>
      <c r="R422" t="s">
        <v>1905</v>
      </c>
      <c r="S422" t="s">
        <v>1904</v>
      </c>
    </row>
    <row r="423" spans="1:19" x14ac:dyDescent="0.2">
      <c r="A423" t="s">
        <v>1903</v>
      </c>
      <c r="B423" t="s">
        <v>1902</v>
      </c>
      <c r="C423">
        <v>13</v>
      </c>
      <c r="D423" t="s">
        <v>120</v>
      </c>
      <c r="E423">
        <v>0</v>
      </c>
      <c r="F423" t="s">
        <v>1901</v>
      </c>
      <c r="G423" t="s">
        <v>229</v>
      </c>
      <c r="H423" t="s">
        <v>228</v>
      </c>
      <c r="M423">
        <v>19</v>
      </c>
      <c r="N423" t="s">
        <v>1304</v>
      </c>
      <c r="O423" t="s">
        <v>1895</v>
      </c>
      <c r="P423">
        <v>7971</v>
      </c>
      <c r="Q423">
        <v>7181</v>
      </c>
      <c r="R423" t="s">
        <v>1900</v>
      </c>
      <c r="S423" t="s">
        <v>1899</v>
      </c>
    </row>
    <row r="424" spans="1:19" x14ac:dyDescent="0.2">
      <c r="A424" t="s">
        <v>1898</v>
      </c>
      <c r="B424" t="s">
        <v>1897</v>
      </c>
      <c r="C424">
        <v>12</v>
      </c>
      <c r="D424" t="s">
        <v>388</v>
      </c>
      <c r="E424">
        <v>0</v>
      </c>
      <c r="F424" t="s">
        <v>1896</v>
      </c>
      <c r="G424" t="s">
        <v>118</v>
      </c>
      <c r="H424" t="s">
        <v>117</v>
      </c>
      <c r="I424">
        <v>0.84350077596511597</v>
      </c>
      <c r="K424">
        <v>35</v>
      </c>
      <c r="M424">
        <v>502</v>
      </c>
      <c r="N424" t="s">
        <v>1304</v>
      </c>
      <c r="O424" t="s">
        <v>1895</v>
      </c>
      <c r="P424">
        <v>7972</v>
      </c>
      <c r="Q424">
        <v>7182</v>
      </c>
      <c r="R424" t="s">
        <v>1894</v>
      </c>
      <c r="S424" t="s">
        <v>1893</v>
      </c>
    </row>
    <row r="425" spans="1:19" x14ac:dyDescent="0.2">
      <c r="A425" t="s">
        <v>1892</v>
      </c>
      <c r="B425" t="s">
        <v>1891</v>
      </c>
      <c r="C425">
        <v>17</v>
      </c>
      <c r="D425" t="s">
        <v>111</v>
      </c>
      <c r="E425">
        <v>0</v>
      </c>
      <c r="F425" t="s">
        <v>1890</v>
      </c>
      <c r="G425" t="s">
        <v>109</v>
      </c>
      <c r="H425" t="s">
        <v>108</v>
      </c>
      <c r="M425">
        <v>70</v>
      </c>
      <c r="N425" t="s">
        <v>1304</v>
      </c>
      <c r="O425" t="s">
        <v>1884</v>
      </c>
      <c r="P425">
        <v>7973</v>
      </c>
      <c r="Q425">
        <v>7101</v>
      </c>
      <c r="R425" t="s">
        <v>1889</v>
      </c>
      <c r="S425" t="s">
        <v>1888</v>
      </c>
    </row>
    <row r="426" spans="1:19" x14ac:dyDescent="0.2">
      <c r="A426" t="s">
        <v>1887</v>
      </c>
      <c r="B426" t="s">
        <v>1886</v>
      </c>
      <c r="C426">
        <v>14</v>
      </c>
      <c r="D426" t="s">
        <v>120</v>
      </c>
      <c r="E426">
        <v>0</v>
      </c>
      <c r="F426" t="s">
        <v>1885</v>
      </c>
      <c r="G426" t="s">
        <v>229</v>
      </c>
      <c r="H426" t="s">
        <v>228</v>
      </c>
      <c r="M426">
        <v>23</v>
      </c>
      <c r="N426" t="s">
        <v>1304</v>
      </c>
      <c r="O426" t="s">
        <v>1884</v>
      </c>
      <c r="P426">
        <v>7974</v>
      </c>
      <c r="Q426">
        <v>10002</v>
      </c>
      <c r="R426" t="s">
        <v>1883</v>
      </c>
      <c r="S426" t="s">
        <v>1882</v>
      </c>
    </row>
    <row r="427" spans="1:19" x14ac:dyDescent="0.2">
      <c r="A427" t="s">
        <v>1881</v>
      </c>
      <c r="B427" t="s">
        <v>1880</v>
      </c>
      <c r="C427">
        <v>18</v>
      </c>
      <c r="D427" t="s">
        <v>111</v>
      </c>
      <c r="E427">
        <v>0</v>
      </c>
      <c r="F427" t="s">
        <v>1879</v>
      </c>
      <c r="G427" t="s">
        <v>229</v>
      </c>
      <c r="H427" t="s">
        <v>228</v>
      </c>
      <c r="M427">
        <v>11</v>
      </c>
      <c r="N427" t="s">
        <v>1304</v>
      </c>
      <c r="O427" t="s">
        <v>1878</v>
      </c>
      <c r="P427">
        <v>7977</v>
      </c>
      <c r="Q427">
        <v>2063</v>
      </c>
      <c r="R427" t="s">
        <v>1877</v>
      </c>
      <c r="S427" t="s">
        <v>1876</v>
      </c>
    </row>
    <row r="428" spans="1:19" x14ac:dyDescent="0.2">
      <c r="A428" t="s">
        <v>1875</v>
      </c>
      <c r="B428" t="s">
        <v>1874</v>
      </c>
      <c r="C428">
        <v>9</v>
      </c>
      <c r="D428" t="s">
        <v>363</v>
      </c>
      <c r="E428">
        <v>0</v>
      </c>
      <c r="F428" t="s">
        <v>1873</v>
      </c>
      <c r="G428" t="s">
        <v>118</v>
      </c>
      <c r="H428" t="s">
        <v>117</v>
      </c>
      <c r="I428">
        <v>0.91999269189397004</v>
      </c>
      <c r="J428">
        <v>0.54695107330330495</v>
      </c>
      <c r="K428">
        <v>12</v>
      </c>
      <c r="L428">
        <v>2</v>
      </c>
      <c r="M428">
        <v>491</v>
      </c>
      <c r="N428" t="s">
        <v>1860</v>
      </c>
      <c r="O428" t="s">
        <v>1872</v>
      </c>
      <c r="P428">
        <v>7980</v>
      </c>
      <c r="Q428">
        <v>3164</v>
      </c>
      <c r="R428" t="s">
        <v>1871</v>
      </c>
      <c r="S428" t="s">
        <v>1870</v>
      </c>
    </row>
    <row r="429" spans="1:19" x14ac:dyDescent="0.2">
      <c r="A429" t="s">
        <v>1869</v>
      </c>
      <c r="B429" t="s">
        <v>1868</v>
      </c>
      <c r="C429">
        <v>9</v>
      </c>
      <c r="D429" t="s">
        <v>120</v>
      </c>
      <c r="E429">
        <v>0</v>
      </c>
      <c r="F429" t="s">
        <v>1867</v>
      </c>
      <c r="G429" t="s">
        <v>229</v>
      </c>
      <c r="H429" t="s">
        <v>228</v>
      </c>
      <c r="M429">
        <v>33</v>
      </c>
      <c r="N429" t="s">
        <v>1860</v>
      </c>
      <c r="O429" t="s">
        <v>1866</v>
      </c>
      <c r="P429">
        <v>7981</v>
      </c>
      <c r="Q429">
        <v>4929</v>
      </c>
      <c r="R429" t="s">
        <v>1865</v>
      </c>
      <c r="S429" t="s">
        <v>1864</v>
      </c>
    </row>
    <row r="430" spans="1:19" x14ac:dyDescent="0.2">
      <c r="A430" t="s">
        <v>1863</v>
      </c>
      <c r="B430" t="s">
        <v>1862</v>
      </c>
      <c r="C430">
        <v>10</v>
      </c>
      <c r="D430" t="s">
        <v>111</v>
      </c>
      <c r="E430">
        <v>0</v>
      </c>
      <c r="F430" t="s">
        <v>1861</v>
      </c>
      <c r="G430" t="s">
        <v>229</v>
      </c>
      <c r="H430" t="s">
        <v>228</v>
      </c>
      <c r="M430">
        <v>5</v>
      </c>
      <c r="N430" t="s">
        <v>1860</v>
      </c>
      <c r="O430" t="s">
        <v>1859</v>
      </c>
      <c r="P430">
        <v>7982</v>
      </c>
      <c r="Q430">
        <v>8013</v>
      </c>
      <c r="R430" t="s">
        <v>1858</v>
      </c>
      <c r="S430" t="s">
        <v>1857</v>
      </c>
    </row>
    <row r="431" spans="1:19" x14ac:dyDescent="0.2">
      <c r="A431" t="s">
        <v>1856</v>
      </c>
      <c r="B431" t="s">
        <v>1855</v>
      </c>
      <c r="C431">
        <v>11</v>
      </c>
      <c r="D431" t="s">
        <v>388</v>
      </c>
      <c r="E431">
        <v>0</v>
      </c>
      <c r="F431" t="s">
        <v>1854</v>
      </c>
      <c r="G431" t="s">
        <v>118</v>
      </c>
      <c r="H431" t="s">
        <v>117</v>
      </c>
      <c r="I431">
        <v>0.55495688030146695</v>
      </c>
      <c r="J431">
        <v>0.95852190635603196</v>
      </c>
      <c r="K431">
        <v>4</v>
      </c>
      <c r="L431">
        <v>8</v>
      </c>
      <c r="M431">
        <v>500</v>
      </c>
      <c r="N431" t="s">
        <v>997</v>
      </c>
      <c r="O431" t="s">
        <v>1853</v>
      </c>
      <c r="P431">
        <v>7984</v>
      </c>
      <c r="Q431">
        <v>2494</v>
      </c>
      <c r="R431" t="s">
        <v>1852</v>
      </c>
      <c r="S431" t="s">
        <v>1851</v>
      </c>
    </row>
    <row r="432" spans="1:19" x14ac:dyDescent="0.2">
      <c r="A432" t="s">
        <v>1850</v>
      </c>
      <c r="B432" t="s">
        <v>1849</v>
      </c>
      <c r="C432">
        <v>13</v>
      </c>
      <c r="D432" t="s">
        <v>388</v>
      </c>
      <c r="E432">
        <v>0</v>
      </c>
      <c r="F432" t="s">
        <v>1848</v>
      </c>
      <c r="G432" t="s">
        <v>229</v>
      </c>
      <c r="H432" t="s">
        <v>228</v>
      </c>
      <c r="M432">
        <v>51</v>
      </c>
      <c r="N432" t="s">
        <v>1847</v>
      </c>
      <c r="O432" t="s">
        <v>1846</v>
      </c>
      <c r="P432">
        <v>7985</v>
      </c>
      <c r="Q432">
        <v>2649</v>
      </c>
      <c r="R432" t="s">
        <v>1845</v>
      </c>
      <c r="S432" t="s">
        <v>1844</v>
      </c>
    </row>
    <row r="433" spans="1:19" x14ac:dyDescent="0.2">
      <c r="A433" t="s">
        <v>1843</v>
      </c>
      <c r="B433" t="s">
        <v>76</v>
      </c>
      <c r="C433">
        <v>17</v>
      </c>
      <c r="D433" t="s">
        <v>363</v>
      </c>
      <c r="E433">
        <v>0</v>
      </c>
      <c r="F433" t="s">
        <v>1842</v>
      </c>
      <c r="G433" t="s">
        <v>118</v>
      </c>
      <c r="H433" t="s">
        <v>117</v>
      </c>
      <c r="I433">
        <v>0.99897323277233296</v>
      </c>
      <c r="J433">
        <v>0.99748240200496696</v>
      </c>
      <c r="K433">
        <v>31</v>
      </c>
      <c r="L433">
        <v>23</v>
      </c>
      <c r="M433">
        <v>501</v>
      </c>
      <c r="N433" t="s">
        <v>1841</v>
      </c>
      <c r="O433" t="s">
        <v>1840</v>
      </c>
      <c r="P433">
        <v>7996</v>
      </c>
      <c r="Q433">
        <v>4899</v>
      </c>
      <c r="R433" t="s">
        <v>1839</v>
      </c>
      <c r="S433" t="s">
        <v>1838</v>
      </c>
    </row>
    <row r="434" spans="1:19" x14ac:dyDescent="0.2">
      <c r="A434" t="s">
        <v>1837</v>
      </c>
      <c r="B434" t="s">
        <v>1836</v>
      </c>
      <c r="C434">
        <v>11</v>
      </c>
      <c r="D434" t="s">
        <v>111</v>
      </c>
      <c r="E434">
        <v>0</v>
      </c>
      <c r="F434" t="s">
        <v>1835</v>
      </c>
      <c r="G434" t="s">
        <v>109</v>
      </c>
      <c r="H434" t="s">
        <v>108</v>
      </c>
      <c r="M434">
        <v>805</v>
      </c>
      <c r="N434" t="s">
        <v>1834</v>
      </c>
      <c r="O434" t="s">
        <v>1833</v>
      </c>
      <c r="P434">
        <v>8002</v>
      </c>
      <c r="Q434">
        <v>4901</v>
      </c>
      <c r="R434" t="s">
        <v>1832</v>
      </c>
      <c r="S434" t="s">
        <v>1831</v>
      </c>
    </row>
    <row r="435" spans="1:19" x14ac:dyDescent="0.2">
      <c r="A435" t="s">
        <v>1830</v>
      </c>
      <c r="B435" t="s">
        <v>1829</v>
      </c>
      <c r="C435">
        <v>14</v>
      </c>
      <c r="D435" t="s">
        <v>111</v>
      </c>
      <c r="E435">
        <v>0</v>
      </c>
      <c r="F435" t="s">
        <v>1828</v>
      </c>
      <c r="G435" t="s">
        <v>109</v>
      </c>
      <c r="H435" t="s">
        <v>108</v>
      </c>
      <c r="M435">
        <v>495</v>
      </c>
      <c r="N435" t="s">
        <v>753</v>
      </c>
      <c r="O435" t="s">
        <v>1815</v>
      </c>
      <c r="P435">
        <v>16983</v>
      </c>
      <c r="Q435">
        <v>116448</v>
      </c>
      <c r="R435" t="s">
        <v>1827</v>
      </c>
      <c r="S435" t="s">
        <v>1826</v>
      </c>
    </row>
    <row r="436" spans="1:19" x14ac:dyDescent="0.2">
      <c r="A436" t="s">
        <v>1825</v>
      </c>
      <c r="B436" t="s">
        <v>1822</v>
      </c>
      <c r="C436">
        <v>18</v>
      </c>
      <c r="D436" t="s">
        <v>388</v>
      </c>
      <c r="E436">
        <v>0</v>
      </c>
      <c r="F436" t="s">
        <v>1824</v>
      </c>
      <c r="G436" t="s">
        <v>118</v>
      </c>
      <c r="H436" t="s">
        <v>117</v>
      </c>
      <c r="J436">
        <v>0.92536151003187095</v>
      </c>
      <c r="L436">
        <v>19</v>
      </c>
      <c r="M436">
        <v>500</v>
      </c>
      <c r="N436" t="s">
        <v>753</v>
      </c>
      <c r="O436" t="s">
        <v>1815</v>
      </c>
      <c r="P436">
        <v>9398</v>
      </c>
      <c r="Q436">
        <v>10215</v>
      </c>
      <c r="R436" t="s">
        <v>1820</v>
      </c>
      <c r="S436" t="s">
        <v>1819</v>
      </c>
    </row>
    <row r="437" spans="1:19" x14ac:dyDescent="0.2">
      <c r="A437" t="s">
        <v>1823</v>
      </c>
      <c r="B437" t="s">
        <v>1822</v>
      </c>
      <c r="C437">
        <v>10</v>
      </c>
      <c r="D437" t="s">
        <v>388</v>
      </c>
      <c r="E437">
        <v>1</v>
      </c>
      <c r="F437" t="s">
        <v>1821</v>
      </c>
      <c r="G437" t="s">
        <v>118</v>
      </c>
      <c r="H437" t="s">
        <v>117</v>
      </c>
      <c r="J437">
        <v>0.90524932510876299</v>
      </c>
      <c r="L437">
        <v>19</v>
      </c>
      <c r="M437">
        <v>500</v>
      </c>
      <c r="N437" t="s">
        <v>753</v>
      </c>
      <c r="O437" t="s">
        <v>1815</v>
      </c>
      <c r="P437">
        <v>9398</v>
      </c>
      <c r="Q437">
        <v>10215</v>
      </c>
      <c r="R437" t="s">
        <v>1820</v>
      </c>
      <c r="S437" t="s">
        <v>1819</v>
      </c>
    </row>
    <row r="438" spans="1:19" x14ac:dyDescent="0.2">
      <c r="A438" t="s">
        <v>1818</v>
      </c>
      <c r="B438" t="s">
        <v>1817</v>
      </c>
      <c r="C438">
        <v>11</v>
      </c>
      <c r="D438" t="s">
        <v>111</v>
      </c>
      <c r="E438">
        <v>0</v>
      </c>
      <c r="F438" t="s">
        <v>1816</v>
      </c>
      <c r="G438" t="s">
        <v>109</v>
      </c>
      <c r="H438" t="s">
        <v>108</v>
      </c>
      <c r="M438">
        <v>3197</v>
      </c>
      <c r="N438" t="s">
        <v>753</v>
      </c>
      <c r="O438" t="s">
        <v>1815</v>
      </c>
      <c r="P438">
        <v>18003</v>
      </c>
      <c r="Q438">
        <v>167826</v>
      </c>
      <c r="R438" t="s">
        <v>1814</v>
      </c>
      <c r="S438" t="s">
        <v>1813</v>
      </c>
    </row>
    <row r="439" spans="1:19" x14ac:dyDescent="0.2">
      <c r="A439" t="s">
        <v>1812</v>
      </c>
      <c r="B439" t="s">
        <v>1811</v>
      </c>
      <c r="C439">
        <v>21</v>
      </c>
      <c r="D439" t="s">
        <v>111</v>
      </c>
      <c r="E439">
        <v>0</v>
      </c>
      <c r="F439" t="s">
        <v>1810</v>
      </c>
      <c r="G439" t="s">
        <v>229</v>
      </c>
      <c r="H439" t="s">
        <v>228</v>
      </c>
      <c r="M439">
        <v>7</v>
      </c>
      <c r="N439" t="s">
        <v>1804</v>
      </c>
      <c r="O439" t="s">
        <v>1803</v>
      </c>
      <c r="P439">
        <v>8139</v>
      </c>
      <c r="Q439">
        <v>9480</v>
      </c>
      <c r="R439" t="s">
        <v>1809</v>
      </c>
      <c r="S439" t="s">
        <v>1808</v>
      </c>
    </row>
    <row r="440" spans="1:19" x14ac:dyDescent="0.2">
      <c r="A440" t="s">
        <v>1807</v>
      </c>
      <c r="B440" t="s">
        <v>1806</v>
      </c>
      <c r="C440">
        <v>12</v>
      </c>
      <c r="D440" t="s">
        <v>111</v>
      </c>
      <c r="E440">
        <v>0</v>
      </c>
      <c r="F440" t="s">
        <v>1805</v>
      </c>
      <c r="G440" t="s">
        <v>109</v>
      </c>
      <c r="H440" t="s">
        <v>108</v>
      </c>
      <c r="M440">
        <v>10343</v>
      </c>
      <c r="N440" t="s">
        <v>1804</v>
      </c>
      <c r="O440" t="s">
        <v>1803</v>
      </c>
      <c r="P440">
        <v>13399</v>
      </c>
      <c r="Q440">
        <v>390874</v>
      </c>
      <c r="R440" t="s">
        <v>1802</v>
      </c>
      <c r="S440" t="s">
        <v>1801</v>
      </c>
    </row>
    <row r="441" spans="1:19" x14ac:dyDescent="0.2">
      <c r="A441" t="s">
        <v>1800</v>
      </c>
      <c r="B441" t="s">
        <v>1799</v>
      </c>
      <c r="C441">
        <v>16</v>
      </c>
      <c r="D441" t="s">
        <v>120</v>
      </c>
      <c r="E441">
        <v>0</v>
      </c>
      <c r="F441" t="s">
        <v>1798</v>
      </c>
      <c r="G441" t="s">
        <v>118</v>
      </c>
      <c r="H441" t="s">
        <v>117</v>
      </c>
      <c r="I441">
        <v>0.89828377359478595</v>
      </c>
      <c r="K441">
        <v>3</v>
      </c>
      <c r="M441">
        <v>492</v>
      </c>
      <c r="N441" t="s">
        <v>107</v>
      </c>
      <c r="O441" t="s">
        <v>125</v>
      </c>
      <c r="P441">
        <v>15830</v>
      </c>
      <c r="Q441">
        <v>116039</v>
      </c>
      <c r="R441" t="s">
        <v>1797</v>
      </c>
      <c r="S441" t="s">
        <v>1796</v>
      </c>
    </row>
    <row r="442" spans="1:19" x14ac:dyDescent="0.2">
      <c r="A442" t="s">
        <v>1795</v>
      </c>
      <c r="B442" t="s">
        <v>1794</v>
      </c>
      <c r="C442">
        <v>8</v>
      </c>
      <c r="D442" t="s">
        <v>111</v>
      </c>
      <c r="E442">
        <v>0</v>
      </c>
      <c r="F442" t="s">
        <v>1793</v>
      </c>
      <c r="G442" t="s">
        <v>229</v>
      </c>
      <c r="H442" t="s">
        <v>228</v>
      </c>
      <c r="M442">
        <v>8</v>
      </c>
      <c r="N442" t="s">
        <v>671</v>
      </c>
      <c r="O442" t="s">
        <v>1787</v>
      </c>
      <c r="P442">
        <v>8521</v>
      </c>
      <c r="Q442">
        <v>5013</v>
      </c>
      <c r="R442" t="s">
        <v>1792</v>
      </c>
      <c r="S442" t="s">
        <v>1791</v>
      </c>
    </row>
    <row r="443" spans="1:19" x14ac:dyDescent="0.2">
      <c r="A443" t="s">
        <v>1790</v>
      </c>
      <c r="B443" t="s">
        <v>1789</v>
      </c>
      <c r="C443">
        <v>11</v>
      </c>
      <c r="D443" t="s">
        <v>363</v>
      </c>
      <c r="E443">
        <v>0</v>
      </c>
      <c r="F443" t="s">
        <v>1788</v>
      </c>
      <c r="G443" t="s">
        <v>118</v>
      </c>
      <c r="H443" t="s">
        <v>117</v>
      </c>
      <c r="I443">
        <v>0.86298126018874599</v>
      </c>
      <c r="J443">
        <v>0.88602102298065599</v>
      </c>
      <c r="K443">
        <v>5</v>
      </c>
      <c r="L443">
        <v>18</v>
      </c>
      <c r="M443">
        <v>500</v>
      </c>
      <c r="N443" t="s">
        <v>671</v>
      </c>
      <c r="O443" t="s">
        <v>1787</v>
      </c>
      <c r="P443">
        <v>8522</v>
      </c>
      <c r="Q443">
        <v>5015</v>
      </c>
      <c r="R443" t="s">
        <v>1786</v>
      </c>
      <c r="S443" t="s">
        <v>1785</v>
      </c>
    </row>
    <row r="444" spans="1:19" x14ac:dyDescent="0.2">
      <c r="A444" t="s">
        <v>1784</v>
      </c>
      <c r="B444" t="s">
        <v>1783</v>
      </c>
      <c r="C444">
        <v>9</v>
      </c>
      <c r="D444" t="s">
        <v>120</v>
      </c>
      <c r="E444">
        <v>0</v>
      </c>
      <c r="F444" t="s">
        <v>1782</v>
      </c>
      <c r="G444" t="s">
        <v>229</v>
      </c>
      <c r="H444" t="s">
        <v>228</v>
      </c>
      <c r="M444">
        <v>7</v>
      </c>
      <c r="N444" t="s">
        <v>107</v>
      </c>
      <c r="O444" t="s">
        <v>1776</v>
      </c>
      <c r="P444">
        <v>8525</v>
      </c>
      <c r="Q444">
        <v>5017</v>
      </c>
      <c r="R444" t="s">
        <v>1781</v>
      </c>
      <c r="S444" t="s">
        <v>1780</v>
      </c>
    </row>
    <row r="445" spans="1:19" x14ac:dyDescent="0.2">
      <c r="A445" t="s">
        <v>1779</v>
      </c>
      <c r="B445" t="s">
        <v>1778</v>
      </c>
      <c r="C445">
        <v>8</v>
      </c>
      <c r="D445" t="s">
        <v>111</v>
      </c>
      <c r="E445">
        <v>0</v>
      </c>
      <c r="F445" t="s">
        <v>1777</v>
      </c>
      <c r="G445" t="s">
        <v>118</v>
      </c>
      <c r="H445" t="s">
        <v>117</v>
      </c>
      <c r="I445">
        <v>0.45318832005712301</v>
      </c>
      <c r="J445">
        <v>0.95170117652069997</v>
      </c>
      <c r="K445">
        <v>2</v>
      </c>
      <c r="L445">
        <v>2</v>
      </c>
      <c r="M445">
        <v>197</v>
      </c>
      <c r="N445" t="s">
        <v>107</v>
      </c>
      <c r="O445" t="s">
        <v>1776</v>
      </c>
      <c r="P445">
        <v>15804</v>
      </c>
      <c r="Q445">
        <v>58495</v>
      </c>
      <c r="R445" t="s">
        <v>1775</v>
      </c>
      <c r="S445" t="s">
        <v>1774</v>
      </c>
    </row>
    <row r="446" spans="1:19" x14ac:dyDescent="0.2">
      <c r="A446" t="s">
        <v>1773</v>
      </c>
      <c r="B446" t="s">
        <v>1772</v>
      </c>
      <c r="C446">
        <v>24</v>
      </c>
      <c r="D446" t="s">
        <v>120</v>
      </c>
      <c r="E446">
        <v>0</v>
      </c>
      <c r="F446" t="s">
        <v>1771</v>
      </c>
      <c r="G446" t="s">
        <v>118</v>
      </c>
      <c r="H446" t="s">
        <v>117</v>
      </c>
      <c r="I446">
        <v>0.98818124079518499</v>
      </c>
      <c r="K446">
        <v>4</v>
      </c>
      <c r="M446">
        <v>451</v>
      </c>
      <c r="N446" t="s">
        <v>107</v>
      </c>
      <c r="O446" t="s">
        <v>432</v>
      </c>
      <c r="P446">
        <v>12931</v>
      </c>
      <c r="Q446">
        <v>7705</v>
      </c>
      <c r="R446" t="s">
        <v>1770</v>
      </c>
      <c r="S446" t="s">
        <v>1769</v>
      </c>
    </row>
    <row r="447" spans="1:19" x14ac:dyDescent="0.2">
      <c r="A447" t="s">
        <v>1768</v>
      </c>
      <c r="B447" t="s">
        <v>1765</v>
      </c>
      <c r="C447">
        <v>20</v>
      </c>
      <c r="D447" t="s">
        <v>363</v>
      </c>
      <c r="E447">
        <v>0</v>
      </c>
      <c r="F447" t="s">
        <v>1767</v>
      </c>
      <c r="G447" t="s">
        <v>118</v>
      </c>
      <c r="H447" t="s">
        <v>117</v>
      </c>
      <c r="I447">
        <v>0.99531570154407401</v>
      </c>
      <c r="J447">
        <v>0.97923363860996204</v>
      </c>
      <c r="K447">
        <v>141</v>
      </c>
      <c r="L447">
        <v>39</v>
      </c>
      <c r="M447">
        <v>487</v>
      </c>
      <c r="N447" t="s">
        <v>1742</v>
      </c>
      <c r="O447" t="s">
        <v>1763</v>
      </c>
      <c r="P447">
        <v>11998</v>
      </c>
      <c r="Q447">
        <v>7157</v>
      </c>
      <c r="R447" t="s">
        <v>1762</v>
      </c>
      <c r="S447" t="s">
        <v>1761</v>
      </c>
    </row>
    <row r="448" spans="1:19" x14ac:dyDescent="0.2">
      <c r="A448" t="s">
        <v>1766</v>
      </c>
      <c r="B448" t="s">
        <v>1765</v>
      </c>
      <c r="C448">
        <v>13</v>
      </c>
      <c r="D448" t="s">
        <v>363</v>
      </c>
      <c r="E448">
        <v>1</v>
      </c>
      <c r="F448" t="s">
        <v>1764</v>
      </c>
      <c r="G448" t="s">
        <v>118</v>
      </c>
      <c r="H448" t="s">
        <v>117</v>
      </c>
      <c r="I448">
        <v>0.98835964372678797</v>
      </c>
      <c r="J448">
        <v>0.98121346224107697</v>
      </c>
      <c r="K448">
        <v>141</v>
      </c>
      <c r="L448">
        <v>39</v>
      </c>
      <c r="M448">
        <v>500</v>
      </c>
      <c r="N448" t="s">
        <v>1742</v>
      </c>
      <c r="O448" t="s">
        <v>1763</v>
      </c>
      <c r="P448">
        <v>11998</v>
      </c>
      <c r="Q448">
        <v>7157</v>
      </c>
      <c r="R448" t="s">
        <v>1762</v>
      </c>
      <c r="S448" t="s">
        <v>1761</v>
      </c>
    </row>
    <row r="449" spans="1:19" x14ac:dyDescent="0.2">
      <c r="A449" t="s">
        <v>1760</v>
      </c>
      <c r="B449" t="s">
        <v>1759</v>
      </c>
      <c r="C449">
        <v>16</v>
      </c>
      <c r="D449" t="s">
        <v>111</v>
      </c>
      <c r="E449">
        <v>0</v>
      </c>
      <c r="F449" t="s">
        <v>1758</v>
      </c>
      <c r="G449" t="s">
        <v>109</v>
      </c>
      <c r="H449" t="s">
        <v>108</v>
      </c>
      <c r="M449">
        <v>664</v>
      </c>
      <c r="N449" t="s">
        <v>1533</v>
      </c>
      <c r="O449" t="s">
        <v>1544</v>
      </c>
      <c r="P449">
        <v>9223</v>
      </c>
      <c r="Q449">
        <v>5462</v>
      </c>
      <c r="R449" t="s">
        <v>1757</v>
      </c>
      <c r="S449" t="s">
        <v>1756</v>
      </c>
    </row>
    <row r="450" spans="1:19" x14ac:dyDescent="0.2">
      <c r="A450" t="s">
        <v>1755</v>
      </c>
      <c r="B450" t="s">
        <v>1752</v>
      </c>
      <c r="C450">
        <v>19</v>
      </c>
      <c r="D450" t="s">
        <v>363</v>
      </c>
      <c r="E450">
        <v>0</v>
      </c>
      <c r="F450" t="s">
        <v>1754</v>
      </c>
      <c r="G450" t="s">
        <v>118</v>
      </c>
      <c r="H450" t="s">
        <v>117</v>
      </c>
      <c r="I450">
        <v>0.9963451944574</v>
      </c>
      <c r="K450">
        <v>79</v>
      </c>
      <c r="M450">
        <v>500</v>
      </c>
      <c r="N450" t="s">
        <v>1742</v>
      </c>
      <c r="O450" t="s">
        <v>1750</v>
      </c>
      <c r="P450">
        <v>15979</v>
      </c>
      <c r="Q450">
        <v>8626</v>
      </c>
      <c r="R450" t="s">
        <v>1749</v>
      </c>
      <c r="S450" t="s">
        <v>1748</v>
      </c>
    </row>
    <row r="451" spans="1:19" x14ac:dyDescent="0.2">
      <c r="A451" t="s">
        <v>1753</v>
      </c>
      <c r="B451" t="s">
        <v>1752</v>
      </c>
      <c r="C451">
        <v>11</v>
      </c>
      <c r="D451" t="s">
        <v>363</v>
      </c>
      <c r="E451">
        <v>1</v>
      </c>
      <c r="F451" t="s">
        <v>1751</v>
      </c>
      <c r="G451" t="s">
        <v>118</v>
      </c>
      <c r="H451" t="s">
        <v>117</v>
      </c>
      <c r="I451">
        <v>0.93564796389668303</v>
      </c>
      <c r="K451">
        <v>79</v>
      </c>
      <c r="M451">
        <v>502</v>
      </c>
      <c r="N451" t="s">
        <v>1742</v>
      </c>
      <c r="O451" t="s">
        <v>1750</v>
      </c>
      <c r="P451">
        <v>15979</v>
      </c>
      <c r="Q451">
        <v>8626</v>
      </c>
      <c r="R451" t="s">
        <v>1749</v>
      </c>
      <c r="S451" t="s">
        <v>1748</v>
      </c>
    </row>
    <row r="452" spans="1:19" x14ac:dyDescent="0.2">
      <c r="A452" t="s">
        <v>1747</v>
      </c>
      <c r="B452" t="s">
        <v>1744</v>
      </c>
      <c r="C452">
        <v>19</v>
      </c>
      <c r="D452" t="s">
        <v>363</v>
      </c>
      <c r="E452">
        <v>0</v>
      </c>
      <c r="F452" t="s">
        <v>1746</v>
      </c>
      <c r="G452" t="s">
        <v>118</v>
      </c>
      <c r="H452" t="s">
        <v>117</v>
      </c>
      <c r="I452">
        <v>0.99637023727994101</v>
      </c>
      <c r="K452">
        <v>10</v>
      </c>
      <c r="M452">
        <v>500</v>
      </c>
      <c r="N452" t="s">
        <v>1742</v>
      </c>
      <c r="O452" t="s">
        <v>1741</v>
      </c>
      <c r="P452">
        <v>12003</v>
      </c>
      <c r="Q452">
        <v>7161</v>
      </c>
      <c r="R452" t="s">
        <v>1740</v>
      </c>
      <c r="S452" t="s">
        <v>1739</v>
      </c>
    </row>
    <row r="453" spans="1:19" x14ac:dyDescent="0.2">
      <c r="A453" t="s">
        <v>1745</v>
      </c>
      <c r="B453" t="s">
        <v>1744</v>
      </c>
      <c r="C453">
        <v>12</v>
      </c>
      <c r="D453" t="s">
        <v>363</v>
      </c>
      <c r="E453">
        <v>1</v>
      </c>
      <c r="F453" t="s">
        <v>1743</v>
      </c>
      <c r="G453" t="s">
        <v>118</v>
      </c>
      <c r="H453" t="s">
        <v>117</v>
      </c>
      <c r="I453">
        <v>0.90758673846565896</v>
      </c>
      <c r="K453">
        <v>10</v>
      </c>
      <c r="M453">
        <v>500</v>
      </c>
      <c r="N453" t="s">
        <v>1742</v>
      </c>
      <c r="O453" t="s">
        <v>1741</v>
      </c>
      <c r="P453">
        <v>12003</v>
      </c>
      <c r="Q453">
        <v>7161</v>
      </c>
      <c r="R453" t="s">
        <v>1740</v>
      </c>
      <c r="S453" t="s">
        <v>1739</v>
      </c>
    </row>
    <row r="454" spans="1:19" x14ac:dyDescent="0.2">
      <c r="A454" t="s">
        <v>1738</v>
      </c>
      <c r="B454" t="s">
        <v>1735</v>
      </c>
      <c r="C454">
        <v>22</v>
      </c>
      <c r="D454" t="s">
        <v>120</v>
      </c>
      <c r="E454">
        <v>0</v>
      </c>
      <c r="F454" t="s">
        <v>1737</v>
      </c>
      <c r="G454" t="s">
        <v>118</v>
      </c>
      <c r="H454" t="s">
        <v>117</v>
      </c>
      <c r="I454">
        <v>0.91692789160041599</v>
      </c>
      <c r="K454">
        <v>6</v>
      </c>
      <c r="M454">
        <v>498</v>
      </c>
      <c r="N454" t="s">
        <v>137</v>
      </c>
      <c r="O454" t="s">
        <v>682</v>
      </c>
      <c r="P454">
        <v>13071</v>
      </c>
      <c r="Q454">
        <v>23598</v>
      </c>
      <c r="R454" t="s">
        <v>1733</v>
      </c>
      <c r="S454" t="s">
        <v>1732</v>
      </c>
    </row>
    <row r="455" spans="1:19" x14ac:dyDescent="0.2">
      <c r="A455" t="s">
        <v>1736</v>
      </c>
      <c r="B455" t="s">
        <v>1735</v>
      </c>
      <c r="C455">
        <v>9</v>
      </c>
      <c r="D455" t="s">
        <v>120</v>
      </c>
      <c r="E455">
        <v>1</v>
      </c>
      <c r="F455" t="s">
        <v>1734</v>
      </c>
      <c r="G455" t="s">
        <v>118</v>
      </c>
      <c r="H455" t="s">
        <v>117</v>
      </c>
      <c r="I455">
        <v>0.85884708310688296</v>
      </c>
      <c r="K455">
        <v>6</v>
      </c>
      <c r="M455">
        <v>499</v>
      </c>
      <c r="N455" t="s">
        <v>137</v>
      </c>
      <c r="O455" t="s">
        <v>682</v>
      </c>
      <c r="P455">
        <v>13071</v>
      </c>
      <c r="Q455">
        <v>23598</v>
      </c>
      <c r="R455" t="s">
        <v>1733</v>
      </c>
      <c r="S455" t="s">
        <v>1732</v>
      </c>
    </row>
    <row r="456" spans="1:19" x14ac:dyDescent="0.2">
      <c r="A456" t="s">
        <v>1731</v>
      </c>
      <c r="B456" t="s">
        <v>1730</v>
      </c>
      <c r="C456">
        <v>17</v>
      </c>
      <c r="D456" t="s">
        <v>111</v>
      </c>
      <c r="E456">
        <v>0</v>
      </c>
      <c r="F456" t="s">
        <v>1729</v>
      </c>
      <c r="G456" t="s">
        <v>109</v>
      </c>
      <c r="H456" t="s">
        <v>108</v>
      </c>
      <c r="M456">
        <v>1173</v>
      </c>
      <c r="N456" t="s">
        <v>1689</v>
      </c>
      <c r="O456" t="s">
        <v>1728</v>
      </c>
      <c r="P456">
        <v>8615</v>
      </c>
      <c r="Q456">
        <v>5075</v>
      </c>
      <c r="R456" t="s">
        <v>1727</v>
      </c>
      <c r="S456" t="s">
        <v>1726</v>
      </c>
    </row>
    <row r="457" spans="1:19" x14ac:dyDescent="0.2">
      <c r="A457" t="s">
        <v>1725</v>
      </c>
      <c r="B457" t="s">
        <v>1724</v>
      </c>
      <c r="C457">
        <v>18</v>
      </c>
      <c r="D457" t="s">
        <v>111</v>
      </c>
      <c r="E457">
        <v>0</v>
      </c>
      <c r="F457" t="s">
        <v>1723</v>
      </c>
      <c r="G457" t="s">
        <v>229</v>
      </c>
      <c r="H457" t="s">
        <v>228</v>
      </c>
      <c r="M457">
        <v>50</v>
      </c>
      <c r="N457" t="s">
        <v>1689</v>
      </c>
      <c r="O457" t="s">
        <v>1688</v>
      </c>
      <c r="P457">
        <v>8616</v>
      </c>
      <c r="Q457">
        <v>5076</v>
      </c>
      <c r="R457" t="s">
        <v>1722</v>
      </c>
      <c r="S457" t="s">
        <v>1721</v>
      </c>
    </row>
    <row r="458" spans="1:19" x14ac:dyDescent="0.2">
      <c r="A458" t="s">
        <v>1720</v>
      </c>
      <c r="B458" t="s">
        <v>1719</v>
      </c>
      <c r="C458">
        <v>13</v>
      </c>
      <c r="D458" t="s">
        <v>111</v>
      </c>
      <c r="E458">
        <v>0</v>
      </c>
      <c r="F458" t="s">
        <v>1718</v>
      </c>
      <c r="G458" t="s">
        <v>109</v>
      </c>
      <c r="H458" t="s">
        <v>108</v>
      </c>
      <c r="M458">
        <v>5195</v>
      </c>
      <c r="N458" t="s">
        <v>1696</v>
      </c>
      <c r="O458" t="s">
        <v>1695</v>
      </c>
      <c r="P458">
        <v>8617</v>
      </c>
      <c r="Q458">
        <v>5077</v>
      </c>
      <c r="R458" t="s">
        <v>1717</v>
      </c>
      <c r="S458" t="s">
        <v>1716</v>
      </c>
    </row>
    <row r="459" spans="1:19" x14ac:dyDescent="0.2">
      <c r="A459" t="s">
        <v>1715</v>
      </c>
      <c r="B459" t="s">
        <v>1714</v>
      </c>
      <c r="C459">
        <v>12</v>
      </c>
      <c r="D459" t="s">
        <v>111</v>
      </c>
      <c r="E459">
        <v>0</v>
      </c>
      <c r="F459" t="s">
        <v>1713</v>
      </c>
      <c r="G459" t="s">
        <v>109</v>
      </c>
      <c r="H459" t="s">
        <v>108</v>
      </c>
      <c r="M459">
        <v>934</v>
      </c>
      <c r="N459" t="s">
        <v>1696</v>
      </c>
      <c r="O459" t="s">
        <v>1702</v>
      </c>
      <c r="P459">
        <v>8618</v>
      </c>
      <c r="Q459">
        <v>5078</v>
      </c>
      <c r="R459" t="s">
        <v>1712</v>
      </c>
      <c r="S459" t="s">
        <v>1711</v>
      </c>
    </row>
    <row r="460" spans="1:19" x14ac:dyDescent="0.2">
      <c r="A460" t="s">
        <v>1710</v>
      </c>
      <c r="B460" t="s">
        <v>1709</v>
      </c>
      <c r="C460">
        <v>21</v>
      </c>
      <c r="D460" t="s">
        <v>363</v>
      </c>
      <c r="E460">
        <v>0</v>
      </c>
      <c r="F460" t="s">
        <v>1708</v>
      </c>
      <c r="G460" t="s">
        <v>118</v>
      </c>
      <c r="H460" t="s">
        <v>117</v>
      </c>
      <c r="I460">
        <v>0.92213574200846704</v>
      </c>
      <c r="J460">
        <v>0.82284012073487101</v>
      </c>
      <c r="K460">
        <v>32</v>
      </c>
      <c r="L460">
        <v>8</v>
      </c>
      <c r="M460">
        <v>202</v>
      </c>
      <c r="N460" t="s">
        <v>1689</v>
      </c>
      <c r="O460" t="s">
        <v>1688</v>
      </c>
      <c r="P460">
        <v>8619</v>
      </c>
      <c r="Q460">
        <v>5079</v>
      </c>
      <c r="R460" t="s">
        <v>1707</v>
      </c>
      <c r="S460" t="s">
        <v>1706</v>
      </c>
    </row>
    <row r="461" spans="1:19" x14ac:dyDescent="0.2">
      <c r="A461" t="s">
        <v>1705</v>
      </c>
      <c r="B461" t="s">
        <v>1704</v>
      </c>
      <c r="C461">
        <v>12</v>
      </c>
      <c r="D461" t="s">
        <v>120</v>
      </c>
      <c r="E461">
        <v>0</v>
      </c>
      <c r="F461" t="s">
        <v>1703</v>
      </c>
      <c r="G461" t="s">
        <v>118</v>
      </c>
      <c r="H461" t="s">
        <v>117</v>
      </c>
      <c r="I461">
        <v>0.74940795899122603</v>
      </c>
      <c r="J461">
        <v>0.73412016663317003</v>
      </c>
      <c r="K461">
        <v>6</v>
      </c>
      <c r="L461">
        <v>8</v>
      </c>
      <c r="M461">
        <v>500</v>
      </c>
      <c r="N461" t="s">
        <v>1696</v>
      </c>
      <c r="O461" t="s">
        <v>1702</v>
      </c>
      <c r="P461">
        <v>8620</v>
      </c>
      <c r="Q461">
        <v>5080</v>
      </c>
      <c r="R461" t="s">
        <v>1701</v>
      </c>
      <c r="S461" t="s">
        <v>1700</v>
      </c>
    </row>
    <row r="462" spans="1:19" x14ac:dyDescent="0.2">
      <c r="A462" t="s">
        <v>1699</v>
      </c>
      <c r="B462" t="s">
        <v>1698</v>
      </c>
      <c r="C462">
        <v>11</v>
      </c>
      <c r="D462" t="s">
        <v>111</v>
      </c>
      <c r="E462">
        <v>0</v>
      </c>
      <c r="F462" t="s">
        <v>1697</v>
      </c>
      <c r="G462" t="s">
        <v>109</v>
      </c>
      <c r="H462" t="s">
        <v>108</v>
      </c>
      <c r="M462">
        <v>17615</v>
      </c>
      <c r="N462" t="s">
        <v>1696</v>
      </c>
      <c r="O462" t="s">
        <v>1695</v>
      </c>
      <c r="P462">
        <v>8621</v>
      </c>
      <c r="Q462">
        <v>5081</v>
      </c>
      <c r="R462" t="s">
        <v>1694</v>
      </c>
      <c r="S462" t="s">
        <v>1693</v>
      </c>
    </row>
    <row r="463" spans="1:19" x14ac:dyDescent="0.2">
      <c r="A463" t="s">
        <v>1692</v>
      </c>
      <c r="B463" t="s">
        <v>1691</v>
      </c>
      <c r="C463">
        <v>14</v>
      </c>
      <c r="D463" t="s">
        <v>111</v>
      </c>
      <c r="E463">
        <v>0</v>
      </c>
      <c r="F463" t="s">
        <v>1690</v>
      </c>
      <c r="G463" t="s">
        <v>229</v>
      </c>
      <c r="H463" t="s">
        <v>228</v>
      </c>
      <c r="M463">
        <v>37</v>
      </c>
      <c r="N463" t="s">
        <v>1689</v>
      </c>
      <c r="O463" t="s">
        <v>1688</v>
      </c>
      <c r="P463">
        <v>8622</v>
      </c>
      <c r="Q463">
        <v>7849</v>
      </c>
      <c r="R463" t="s">
        <v>1687</v>
      </c>
      <c r="S463" t="s">
        <v>1686</v>
      </c>
    </row>
    <row r="464" spans="1:19" x14ac:dyDescent="0.2">
      <c r="A464" t="s">
        <v>1685</v>
      </c>
      <c r="B464" t="s">
        <v>1682</v>
      </c>
      <c r="C464">
        <v>10</v>
      </c>
      <c r="D464" t="s">
        <v>363</v>
      </c>
      <c r="E464">
        <v>0</v>
      </c>
      <c r="F464" t="s">
        <v>1684</v>
      </c>
      <c r="G464" t="s">
        <v>118</v>
      </c>
      <c r="H464" t="s">
        <v>117</v>
      </c>
      <c r="I464">
        <v>0.93561486258305304</v>
      </c>
      <c r="J464">
        <v>0.88296552878788004</v>
      </c>
      <c r="K464">
        <v>2</v>
      </c>
      <c r="L464">
        <v>36</v>
      </c>
      <c r="M464">
        <v>501</v>
      </c>
      <c r="N464" t="s">
        <v>796</v>
      </c>
      <c r="O464" t="s">
        <v>1668</v>
      </c>
      <c r="P464">
        <v>8632</v>
      </c>
      <c r="Q464">
        <v>5087</v>
      </c>
      <c r="R464" t="s">
        <v>1680</v>
      </c>
      <c r="S464" t="s">
        <v>1679</v>
      </c>
    </row>
    <row r="465" spans="1:19" x14ac:dyDescent="0.2">
      <c r="A465" t="s">
        <v>1683</v>
      </c>
      <c r="B465" t="s">
        <v>1682</v>
      </c>
      <c r="C465">
        <v>15</v>
      </c>
      <c r="D465" t="s">
        <v>120</v>
      </c>
      <c r="E465">
        <v>1</v>
      </c>
      <c r="F465" t="s">
        <v>1681</v>
      </c>
      <c r="G465" t="s">
        <v>229</v>
      </c>
      <c r="H465" t="s">
        <v>228</v>
      </c>
      <c r="I465">
        <v>0.73332939806913899</v>
      </c>
      <c r="J465">
        <v>0.75904993321150904</v>
      </c>
      <c r="K465">
        <v>2</v>
      </c>
      <c r="L465">
        <v>36</v>
      </c>
      <c r="M465">
        <v>145</v>
      </c>
      <c r="N465" t="s">
        <v>796</v>
      </c>
      <c r="O465" t="s">
        <v>1668</v>
      </c>
      <c r="P465">
        <v>8632</v>
      </c>
      <c r="Q465">
        <v>5087</v>
      </c>
      <c r="R465" t="s">
        <v>1680</v>
      </c>
      <c r="S465" t="s">
        <v>1679</v>
      </c>
    </row>
    <row r="466" spans="1:19" x14ac:dyDescent="0.2">
      <c r="A466" t="s">
        <v>1678</v>
      </c>
      <c r="B466" t="s">
        <v>1677</v>
      </c>
      <c r="C466">
        <v>15</v>
      </c>
      <c r="D466" t="s">
        <v>120</v>
      </c>
      <c r="E466">
        <v>0</v>
      </c>
      <c r="F466" t="s">
        <v>1676</v>
      </c>
      <c r="G466" t="s">
        <v>229</v>
      </c>
      <c r="H466" t="s">
        <v>228</v>
      </c>
      <c r="M466">
        <v>19</v>
      </c>
      <c r="N466" t="s">
        <v>796</v>
      </c>
      <c r="O466" t="s">
        <v>1668</v>
      </c>
      <c r="P466">
        <v>8633</v>
      </c>
      <c r="Q466">
        <v>5089</v>
      </c>
      <c r="R466" t="s">
        <v>1675</v>
      </c>
      <c r="S466" t="s">
        <v>1674</v>
      </c>
    </row>
    <row r="467" spans="1:19" x14ac:dyDescent="0.2">
      <c r="A467" t="s">
        <v>1673</v>
      </c>
      <c r="B467" t="s">
        <v>1670</v>
      </c>
      <c r="C467">
        <v>11</v>
      </c>
      <c r="D467" t="s">
        <v>363</v>
      </c>
      <c r="E467">
        <v>0</v>
      </c>
      <c r="F467" t="s">
        <v>1672</v>
      </c>
      <c r="G467" t="s">
        <v>118</v>
      </c>
      <c r="H467" t="s">
        <v>117</v>
      </c>
      <c r="I467">
        <v>0.940779421878286</v>
      </c>
      <c r="K467">
        <v>17</v>
      </c>
      <c r="M467">
        <v>420</v>
      </c>
      <c r="N467" t="s">
        <v>796</v>
      </c>
      <c r="O467" t="s">
        <v>1668</v>
      </c>
      <c r="P467">
        <v>8634</v>
      </c>
      <c r="Q467">
        <v>5090</v>
      </c>
      <c r="R467" t="s">
        <v>1667</v>
      </c>
      <c r="S467" t="s">
        <v>1666</v>
      </c>
    </row>
    <row r="468" spans="1:19" x14ac:dyDescent="0.2">
      <c r="A468" t="s">
        <v>1671</v>
      </c>
      <c r="B468" t="s">
        <v>1670</v>
      </c>
      <c r="C468">
        <v>9</v>
      </c>
      <c r="D468" t="s">
        <v>363</v>
      </c>
      <c r="E468">
        <v>1</v>
      </c>
      <c r="F468" t="s">
        <v>1669</v>
      </c>
      <c r="G468" t="s">
        <v>118</v>
      </c>
      <c r="H468" t="s">
        <v>117</v>
      </c>
      <c r="I468">
        <v>0.92245314239076903</v>
      </c>
      <c r="K468">
        <v>17</v>
      </c>
      <c r="M468">
        <v>500</v>
      </c>
      <c r="N468" t="s">
        <v>796</v>
      </c>
      <c r="O468" t="s">
        <v>1668</v>
      </c>
      <c r="P468">
        <v>8634</v>
      </c>
      <c r="Q468">
        <v>5090</v>
      </c>
      <c r="R468" t="s">
        <v>1667</v>
      </c>
      <c r="S468" t="s">
        <v>1666</v>
      </c>
    </row>
    <row r="469" spans="1:19" x14ac:dyDescent="0.2">
      <c r="A469" t="s">
        <v>1665</v>
      </c>
      <c r="B469" t="s">
        <v>1662</v>
      </c>
      <c r="C469">
        <v>9</v>
      </c>
      <c r="D469" t="s">
        <v>363</v>
      </c>
      <c r="E469">
        <v>0</v>
      </c>
      <c r="F469" t="s">
        <v>1664</v>
      </c>
      <c r="G469" t="s">
        <v>118</v>
      </c>
      <c r="H469" t="s">
        <v>117</v>
      </c>
      <c r="I469">
        <v>0.95985857994046198</v>
      </c>
      <c r="J469">
        <v>0.81388933235532801</v>
      </c>
      <c r="K469">
        <v>10</v>
      </c>
      <c r="L469">
        <v>4</v>
      </c>
      <c r="M469">
        <v>494</v>
      </c>
      <c r="N469" t="s">
        <v>1660</v>
      </c>
      <c r="O469" t="s">
        <v>1659</v>
      </c>
      <c r="P469">
        <v>6107</v>
      </c>
      <c r="Q469">
        <v>3651</v>
      </c>
      <c r="R469" t="s">
        <v>1658</v>
      </c>
      <c r="S469" t="s">
        <v>1657</v>
      </c>
    </row>
    <row r="470" spans="1:19" x14ac:dyDescent="0.2">
      <c r="A470" t="s">
        <v>1663</v>
      </c>
      <c r="B470" t="s">
        <v>1662</v>
      </c>
      <c r="C470">
        <v>9</v>
      </c>
      <c r="D470" t="s">
        <v>363</v>
      </c>
      <c r="E470">
        <v>1</v>
      </c>
      <c r="F470" t="s">
        <v>1661</v>
      </c>
      <c r="G470" t="s">
        <v>118</v>
      </c>
      <c r="H470" t="s">
        <v>117</v>
      </c>
      <c r="I470">
        <v>0.82366731344545996</v>
      </c>
      <c r="J470">
        <v>0.82700200285680403</v>
      </c>
      <c r="K470">
        <v>10</v>
      </c>
      <c r="L470">
        <v>4</v>
      </c>
      <c r="M470">
        <v>504</v>
      </c>
      <c r="N470" t="s">
        <v>1660</v>
      </c>
      <c r="O470" t="s">
        <v>1659</v>
      </c>
      <c r="P470">
        <v>6107</v>
      </c>
      <c r="Q470">
        <v>3651</v>
      </c>
      <c r="R470" t="s">
        <v>1658</v>
      </c>
      <c r="S470" t="s">
        <v>1657</v>
      </c>
    </row>
    <row r="471" spans="1:19" x14ac:dyDescent="0.2">
      <c r="A471" t="s">
        <v>1656</v>
      </c>
      <c r="B471" t="s">
        <v>1655</v>
      </c>
      <c r="C471">
        <v>11</v>
      </c>
      <c r="D471" t="s">
        <v>120</v>
      </c>
      <c r="E471">
        <v>0</v>
      </c>
      <c r="F471" t="s">
        <v>1654</v>
      </c>
      <c r="G471" t="s">
        <v>229</v>
      </c>
      <c r="H471" t="s">
        <v>228</v>
      </c>
      <c r="M471">
        <v>23</v>
      </c>
      <c r="P471">
        <v>1539</v>
      </c>
      <c r="Q471">
        <v>865</v>
      </c>
      <c r="R471" t="s">
        <v>1653</v>
      </c>
      <c r="S471" t="s">
        <v>1652</v>
      </c>
    </row>
    <row r="472" spans="1:19" x14ac:dyDescent="0.2">
      <c r="A472" t="s">
        <v>1651</v>
      </c>
      <c r="B472" t="s">
        <v>1650</v>
      </c>
      <c r="C472">
        <v>11</v>
      </c>
      <c r="D472" t="s">
        <v>111</v>
      </c>
      <c r="E472">
        <v>0</v>
      </c>
      <c r="F472" t="s">
        <v>730</v>
      </c>
      <c r="G472" t="s">
        <v>109</v>
      </c>
      <c r="H472" t="s">
        <v>108</v>
      </c>
      <c r="M472">
        <v>7919</v>
      </c>
      <c r="N472" t="s">
        <v>671</v>
      </c>
      <c r="O472" t="s">
        <v>1644</v>
      </c>
      <c r="P472">
        <v>691</v>
      </c>
      <c r="Q472">
        <v>401</v>
      </c>
      <c r="R472" t="s">
        <v>1649</v>
      </c>
      <c r="S472" t="s">
        <v>1648</v>
      </c>
    </row>
    <row r="473" spans="1:19" x14ac:dyDescent="0.2">
      <c r="A473" t="s">
        <v>1647</v>
      </c>
      <c r="B473" t="s">
        <v>1646</v>
      </c>
      <c r="C473">
        <v>11</v>
      </c>
      <c r="D473" t="s">
        <v>111</v>
      </c>
      <c r="E473">
        <v>0</v>
      </c>
      <c r="F473" t="s">
        <v>1645</v>
      </c>
      <c r="G473" t="s">
        <v>109</v>
      </c>
      <c r="H473" t="s">
        <v>108</v>
      </c>
      <c r="M473">
        <v>24552</v>
      </c>
      <c r="N473" t="s">
        <v>671</v>
      </c>
      <c r="O473" t="s">
        <v>1644</v>
      </c>
      <c r="P473">
        <v>9143</v>
      </c>
      <c r="Q473">
        <v>8929</v>
      </c>
      <c r="R473" t="s">
        <v>1643</v>
      </c>
      <c r="S473" t="s">
        <v>1642</v>
      </c>
    </row>
    <row r="474" spans="1:19" x14ac:dyDescent="0.2">
      <c r="A474" t="s">
        <v>1641</v>
      </c>
      <c r="B474" t="s">
        <v>1640</v>
      </c>
      <c r="C474">
        <v>13</v>
      </c>
      <c r="D474" t="s">
        <v>120</v>
      </c>
      <c r="E474">
        <v>0</v>
      </c>
      <c r="F474" t="s">
        <v>1639</v>
      </c>
      <c r="G474" t="s">
        <v>229</v>
      </c>
      <c r="H474" t="s">
        <v>228</v>
      </c>
      <c r="M474">
        <v>39</v>
      </c>
      <c r="N474" t="s">
        <v>1533</v>
      </c>
      <c r="O474" t="s">
        <v>1638</v>
      </c>
      <c r="P474">
        <v>9210</v>
      </c>
      <c r="Q474">
        <v>5449</v>
      </c>
      <c r="R474" t="s">
        <v>1637</v>
      </c>
      <c r="S474" t="s">
        <v>1636</v>
      </c>
    </row>
    <row r="475" spans="1:19" x14ac:dyDescent="0.2">
      <c r="A475" t="s">
        <v>1635</v>
      </c>
      <c r="B475" t="s">
        <v>1634</v>
      </c>
      <c r="C475">
        <v>9</v>
      </c>
      <c r="D475" t="s">
        <v>111</v>
      </c>
      <c r="E475">
        <v>0</v>
      </c>
      <c r="F475" t="s">
        <v>1633</v>
      </c>
      <c r="G475" t="s">
        <v>118</v>
      </c>
      <c r="H475" t="s">
        <v>117</v>
      </c>
      <c r="I475">
        <v>0.54424926483684299</v>
      </c>
      <c r="J475">
        <v>0.88473003693958596</v>
      </c>
      <c r="K475">
        <v>2</v>
      </c>
      <c r="L475">
        <v>4</v>
      </c>
      <c r="M475">
        <v>500</v>
      </c>
      <c r="N475" t="s">
        <v>671</v>
      </c>
      <c r="O475" t="s">
        <v>1622</v>
      </c>
      <c r="P475">
        <v>9004</v>
      </c>
      <c r="Q475">
        <v>5307</v>
      </c>
      <c r="R475" t="s">
        <v>1632</v>
      </c>
      <c r="S475" t="s">
        <v>1631</v>
      </c>
    </row>
    <row r="476" spans="1:19" x14ac:dyDescent="0.2">
      <c r="A476" t="s">
        <v>1630</v>
      </c>
      <c r="B476" t="s">
        <v>1629</v>
      </c>
      <c r="C476">
        <v>10</v>
      </c>
      <c r="D476" t="s">
        <v>111</v>
      </c>
      <c r="E476">
        <v>0</v>
      </c>
      <c r="F476" t="s">
        <v>1628</v>
      </c>
      <c r="G476" t="s">
        <v>229</v>
      </c>
      <c r="H476" t="s">
        <v>228</v>
      </c>
      <c r="M476">
        <v>17</v>
      </c>
      <c r="N476" t="s">
        <v>671</v>
      </c>
      <c r="O476" t="s">
        <v>1622</v>
      </c>
      <c r="P476">
        <v>9005</v>
      </c>
      <c r="Q476">
        <v>5308</v>
      </c>
      <c r="R476" t="s">
        <v>1627</v>
      </c>
      <c r="S476" t="s">
        <v>1626</v>
      </c>
    </row>
    <row r="477" spans="1:19" x14ac:dyDescent="0.2">
      <c r="A477" t="s">
        <v>1625</v>
      </c>
      <c r="B477" t="s">
        <v>1624</v>
      </c>
      <c r="C477">
        <v>18</v>
      </c>
      <c r="D477" t="s">
        <v>111</v>
      </c>
      <c r="E477">
        <v>0</v>
      </c>
      <c r="F477" t="s">
        <v>1623</v>
      </c>
      <c r="G477" t="s">
        <v>109</v>
      </c>
      <c r="H477" t="s">
        <v>108</v>
      </c>
      <c r="M477">
        <v>7586</v>
      </c>
      <c r="N477" t="s">
        <v>671</v>
      </c>
      <c r="O477" t="s">
        <v>1622</v>
      </c>
      <c r="P477">
        <v>9006</v>
      </c>
      <c r="Q477">
        <v>5309</v>
      </c>
      <c r="R477" t="s">
        <v>1621</v>
      </c>
      <c r="S477" t="s">
        <v>1620</v>
      </c>
    </row>
    <row r="478" spans="1:19" x14ac:dyDescent="0.2">
      <c r="A478" t="s">
        <v>1619</v>
      </c>
      <c r="B478" t="s">
        <v>1618</v>
      </c>
      <c r="C478">
        <v>11</v>
      </c>
      <c r="D478" t="s">
        <v>388</v>
      </c>
      <c r="E478">
        <v>0</v>
      </c>
      <c r="F478" t="s">
        <v>1617</v>
      </c>
      <c r="G478" t="s">
        <v>118</v>
      </c>
      <c r="H478" t="s">
        <v>117</v>
      </c>
      <c r="J478">
        <v>0.96737915520909601</v>
      </c>
      <c r="L478">
        <v>19</v>
      </c>
      <c r="M478">
        <v>480</v>
      </c>
      <c r="N478" t="s">
        <v>796</v>
      </c>
      <c r="O478" t="s">
        <v>1616</v>
      </c>
      <c r="P478">
        <v>9022</v>
      </c>
      <c r="Q478">
        <v>5316</v>
      </c>
      <c r="R478" t="s">
        <v>1615</v>
      </c>
      <c r="S478" t="s">
        <v>1614</v>
      </c>
    </row>
    <row r="479" spans="1:19" x14ac:dyDescent="0.2">
      <c r="A479" t="s">
        <v>1613</v>
      </c>
      <c r="B479" t="s">
        <v>1612</v>
      </c>
      <c r="C479">
        <v>17</v>
      </c>
      <c r="D479" t="s">
        <v>111</v>
      </c>
      <c r="E479">
        <v>0</v>
      </c>
      <c r="F479" t="s">
        <v>1611</v>
      </c>
      <c r="G479" t="s">
        <v>229</v>
      </c>
      <c r="H479" t="s">
        <v>228</v>
      </c>
      <c r="M479">
        <v>25</v>
      </c>
      <c r="N479" t="s">
        <v>107</v>
      </c>
      <c r="O479" t="s">
        <v>1605</v>
      </c>
      <c r="P479">
        <v>9045</v>
      </c>
      <c r="Q479">
        <v>5324</v>
      </c>
      <c r="R479" t="s">
        <v>1610</v>
      </c>
      <c r="S479" t="s">
        <v>1609</v>
      </c>
    </row>
    <row r="480" spans="1:19" x14ac:dyDescent="0.2">
      <c r="A480" t="s">
        <v>1608</v>
      </c>
      <c r="B480" t="s">
        <v>1607</v>
      </c>
      <c r="C480">
        <v>10</v>
      </c>
      <c r="D480" t="s">
        <v>111</v>
      </c>
      <c r="E480">
        <v>0</v>
      </c>
      <c r="F480" t="s">
        <v>1606</v>
      </c>
      <c r="G480" t="s">
        <v>229</v>
      </c>
      <c r="H480" t="s">
        <v>228</v>
      </c>
      <c r="M480">
        <v>12</v>
      </c>
      <c r="N480" t="s">
        <v>107</v>
      </c>
      <c r="O480" t="s">
        <v>1605</v>
      </c>
      <c r="P480">
        <v>9046</v>
      </c>
      <c r="Q480">
        <v>5325</v>
      </c>
      <c r="R480" t="s">
        <v>1604</v>
      </c>
      <c r="S480" t="s">
        <v>1603</v>
      </c>
    </row>
    <row r="481" spans="1:19" x14ac:dyDescent="0.2">
      <c r="A481" t="s">
        <v>1602</v>
      </c>
      <c r="B481" t="s">
        <v>1601</v>
      </c>
      <c r="C481">
        <v>16</v>
      </c>
      <c r="D481" t="s">
        <v>120</v>
      </c>
      <c r="E481">
        <v>0</v>
      </c>
      <c r="F481" t="s">
        <v>1600</v>
      </c>
      <c r="G481" t="s">
        <v>118</v>
      </c>
      <c r="H481" t="s">
        <v>117</v>
      </c>
      <c r="I481">
        <v>0.76580038419881202</v>
      </c>
      <c r="J481">
        <v>0.66879201443653902</v>
      </c>
      <c r="K481">
        <v>15</v>
      </c>
      <c r="L481">
        <v>14</v>
      </c>
      <c r="M481">
        <v>134</v>
      </c>
      <c r="N481" t="s">
        <v>1533</v>
      </c>
      <c r="O481" t="s">
        <v>1589</v>
      </c>
      <c r="P481">
        <v>9212</v>
      </c>
      <c r="Q481">
        <v>5451</v>
      </c>
      <c r="R481" t="s">
        <v>1599</v>
      </c>
      <c r="S481" t="s">
        <v>1598</v>
      </c>
    </row>
    <row r="482" spans="1:19" x14ac:dyDescent="0.2">
      <c r="A482" t="s">
        <v>1597</v>
      </c>
      <c r="B482" t="s">
        <v>1596</v>
      </c>
      <c r="C482">
        <v>11</v>
      </c>
      <c r="D482" t="s">
        <v>363</v>
      </c>
      <c r="E482">
        <v>0</v>
      </c>
      <c r="F482" t="s">
        <v>1595</v>
      </c>
      <c r="G482" t="s">
        <v>118</v>
      </c>
      <c r="H482" t="s">
        <v>117</v>
      </c>
      <c r="I482">
        <v>0.91903523964220002</v>
      </c>
      <c r="K482">
        <v>14</v>
      </c>
      <c r="M482">
        <v>501</v>
      </c>
      <c r="N482" t="s">
        <v>1533</v>
      </c>
      <c r="O482" t="s">
        <v>1589</v>
      </c>
      <c r="P482">
        <v>9213</v>
      </c>
      <c r="Q482">
        <v>5452</v>
      </c>
      <c r="R482" t="s">
        <v>1594</v>
      </c>
      <c r="S482" t="s">
        <v>1593</v>
      </c>
    </row>
    <row r="483" spans="1:19" x14ac:dyDescent="0.2">
      <c r="A483" t="s">
        <v>1592</v>
      </c>
      <c r="B483" t="s">
        <v>1591</v>
      </c>
      <c r="C483">
        <v>14</v>
      </c>
      <c r="D483" t="s">
        <v>111</v>
      </c>
      <c r="E483">
        <v>0</v>
      </c>
      <c r="F483" t="s">
        <v>1590</v>
      </c>
      <c r="G483" t="s">
        <v>109</v>
      </c>
      <c r="H483" t="s">
        <v>108</v>
      </c>
      <c r="M483">
        <v>301</v>
      </c>
      <c r="N483" t="s">
        <v>1533</v>
      </c>
      <c r="O483" t="s">
        <v>1589</v>
      </c>
      <c r="P483">
        <v>19864</v>
      </c>
      <c r="Q483">
        <v>25833</v>
      </c>
      <c r="R483" t="s">
        <v>1588</v>
      </c>
      <c r="S483" t="s">
        <v>1587</v>
      </c>
    </row>
    <row r="484" spans="1:19" x14ac:dyDescent="0.2">
      <c r="A484" t="s">
        <v>1586</v>
      </c>
      <c r="B484" t="s">
        <v>1585</v>
      </c>
      <c r="C484">
        <v>14</v>
      </c>
      <c r="D484" t="s">
        <v>120</v>
      </c>
      <c r="E484">
        <v>0</v>
      </c>
      <c r="F484" t="s">
        <v>1584</v>
      </c>
      <c r="G484" t="s">
        <v>229</v>
      </c>
      <c r="H484" t="s">
        <v>228</v>
      </c>
      <c r="M484">
        <v>16</v>
      </c>
      <c r="N484" t="s">
        <v>1533</v>
      </c>
      <c r="O484" t="s">
        <v>1568</v>
      </c>
      <c r="P484">
        <v>9214</v>
      </c>
      <c r="Q484">
        <v>5453</v>
      </c>
      <c r="R484" t="s">
        <v>1583</v>
      </c>
      <c r="S484" t="s">
        <v>1582</v>
      </c>
    </row>
    <row r="485" spans="1:19" x14ac:dyDescent="0.2">
      <c r="A485" t="s">
        <v>1581</v>
      </c>
      <c r="B485" t="s">
        <v>1580</v>
      </c>
      <c r="C485">
        <v>17</v>
      </c>
      <c r="D485" t="s">
        <v>363</v>
      </c>
      <c r="E485">
        <v>0</v>
      </c>
      <c r="F485" t="s">
        <v>1579</v>
      </c>
      <c r="G485" t="s">
        <v>118</v>
      </c>
      <c r="H485" t="s">
        <v>117</v>
      </c>
      <c r="I485">
        <v>0.92386199409260505</v>
      </c>
      <c r="J485">
        <v>0.91269076541864302</v>
      </c>
      <c r="K485">
        <v>12</v>
      </c>
      <c r="L485">
        <v>22</v>
      </c>
      <c r="M485">
        <v>507</v>
      </c>
      <c r="N485" t="s">
        <v>1533</v>
      </c>
      <c r="O485" t="s">
        <v>1568</v>
      </c>
      <c r="P485">
        <v>9215</v>
      </c>
      <c r="Q485">
        <v>5454</v>
      </c>
      <c r="R485" t="s">
        <v>1578</v>
      </c>
      <c r="S485" t="s">
        <v>1577</v>
      </c>
    </row>
    <row r="486" spans="1:19" x14ac:dyDescent="0.2">
      <c r="A486" t="s">
        <v>1576</v>
      </c>
      <c r="B486" t="s">
        <v>1575</v>
      </c>
      <c r="C486">
        <v>17</v>
      </c>
      <c r="D486" t="s">
        <v>111</v>
      </c>
      <c r="E486">
        <v>0</v>
      </c>
      <c r="F486" t="s">
        <v>1574</v>
      </c>
      <c r="G486" t="s">
        <v>109</v>
      </c>
      <c r="H486" t="s">
        <v>108</v>
      </c>
      <c r="M486">
        <v>1347</v>
      </c>
      <c r="N486" t="s">
        <v>1533</v>
      </c>
      <c r="O486" t="s">
        <v>1568</v>
      </c>
      <c r="P486">
        <v>9216</v>
      </c>
      <c r="Q486">
        <v>5455</v>
      </c>
      <c r="R486" t="s">
        <v>1573</v>
      </c>
      <c r="S486" t="s">
        <v>1572</v>
      </c>
    </row>
    <row r="487" spans="1:19" x14ac:dyDescent="0.2">
      <c r="A487" t="s">
        <v>1571</v>
      </c>
      <c r="B487" t="s">
        <v>1570</v>
      </c>
      <c r="C487">
        <v>17</v>
      </c>
      <c r="D487" t="s">
        <v>111</v>
      </c>
      <c r="E487">
        <v>0</v>
      </c>
      <c r="F487" t="s">
        <v>1569</v>
      </c>
      <c r="G487" t="s">
        <v>109</v>
      </c>
      <c r="H487" t="s">
        <v>108</v>
      </c>
      <c r="M487">
        <v>5283</v>
      </c>
      <c r="N487" t="s">
        <v>1533</v>
      </c>
      <c r="O487" t="s">
        <v>1568</v>
      </c>
      <c r="P487">
        <v>9217</v>
      </c>
      <c r="Q487">
        <v>5456</v>
      </c>
      <c r="R487" t="s">
        <v>1567</v>
      </c>
      <c r="S487" t="s">
        <v>1566</v>
      </c>
    </row>
    <row r="488" spans="1:19" x14ac:dyDescent="0.2">
      <c r="A488" t="s">
        <v>1565</v>
      </c>
      <c r="B488" t="s">
        <v>1564</v>
      </c>
      <c r="C488">
        <v>14</v>
      </c>
      <c r="D488" t="s">
        <v>111</v>
      </c>
      <c r="E488">
        <v>0</v>
      </c>
      <c r="F488" t="s">
        <v>1563</v>
      </c>
      <c r="G488" t="s">
        <v>109</v>
      </c>
      <c r="H488" t="s">
        <v>108</v>
      </c>
      <c r="M488">
        <v>7624</v>
      </c>
      <c r="N488" t="s">
        <v>1533</v>
      </c>
      <c r="O488" t="s">
        <v>1552</v>
      </c>
      <c r="P488">
        <v>9218</v>
      </c>
      <c r="Q488">
        <v>5457</v>
      </c>
      <c r="R488" t="s">
        <v>1562</v>
      </c>
      <c r="S488" t="s">
        <v>1561</v>
      </c>
    </row>
    <row r="489" spans="1:19" x14ac:dyDescent="0.2">
      <c r="A489" t="s">
        <v>1560</v>
      </c>
      <c r="B489" t="s">
        <v>1559</v>
      </c>
      <c r="C489">
        <v>13</v>
      </c>
      <c r="D489" t="s">
        <v>111</v>
      </c>
      <c r="E489">
        <v>0</v>
      </c>
      <c r="F489" t="s">
        <v>1558</v>
      </c>
      <c r="G489" t="s">
        <v>229</v>
      </c>
      <c r="H489" t="s">
        <v>228</v>
      </c>
      <c r="M489">
        <v>31</v>
      </c>
      <c r="N489" t="s">
        <v>1533</v>
      </c>
      <c r="O489" t="s">
        <v>1552</v>
      </c>
      <c r="P489">
        <v>9219</v>
      </c>
      <c r="Q489">
        <v>5458</v>
      </c>
      <c r="R489" t="s">
        <v>1557</v>
      </c>
      <c r="S489" t="s">
        <v>1556</v>
      </c>
    </row>
    <row r="490" spans="1:19" x14ac:dyDescent="0.2">
      <c r="A490" t="s">
        <v>1555</v>
      </c>
      <c r="B490" t="s">
        <v>1554</v>
      </c>
      <c r="C490">
        <v>15</v>
      </c>
      <c r="D490" t="s">
        <v>111</v>
      </c>
      <c r="E490">
        <v>0</v>
      </c>
      <c r="F490" t="s">
        <v>1553</v>
      </c>
      <c r="G490" t="s">
        <v>109</v>
      </c>
      <c r="H490" t="s">
        <v>108</v>
      </c>
      <c r="M490">
        <v>6312</v>
      </c>
      <c r="N490" t="s">
        <v>1533</v>
      </c>
      <c r="O490" t="s">
        <v>1552</v>
      </c>
      <c r="P490">
        <v>9220</v>
      </c>
      <c r="Q490">
        <v>5459</v>
      </c>
      <c r="R490" t="s">
        <v>1551</v>
      </c>
      <c r="S490" t="s">
        <v>1550</v>
      </c>
    </row>
    <row r="491" spans="1:19" x14ac:dyDescent="0.2">
      <c r="A491" t="s">
        <v>1549</v>
      </c>
      <c r="B491" t="s">
        <v>1546</v>
      </c>
      <c r="C491">
        <v>16</v>
      </c>
      <c r="D491" t="s">
        <v>363</v>
      </c>
      <c r="E491">
        <v>0</v>
      </c>
      <c r="F491" t="s">
        <v>1548</v>
      </c>
      <c r="G491" t="s">
        <v>118</v>
      </c>
      <c r="H491" t="s">
        <v>117</v>
      </c>
      <c r="I491">
        <v>0.97683861365153402</v>
      </c>
      <c r="J491">
        <v>0.98152426122666403</v>
      </c>
      <c r="K491">
        <v>44</v>
      </c>
      <c r="L491">
        <v>119</v>
      </c>
      <c r="M491">
        <v>501</v>
      </c>
      <c r="N491" t="s">
        <v>1533</v>
      </c>
      <c r="O491" t="s">
        <v>1544</v>
      </c>
      <c r="P491">
        <v>9221</v>
      </c>
      <c r="Q491">
        <v>5460</v>
      </c>
      <c r="R491" t="s">
        <v>1543</v>
      </c>
      <c r="S491" t="s">
        <v>1542</v>
      </c>
    </row>
    <row r="492" spans="1:19" x14ac:dyDescent="0.2">
      <c r="A492" t="s">
        <v>1547</v>
      </c>
      <c r="B492" t="s">
        <v>1546</v>
      </c>
      <c r="C492">
        <v>10</v>
      </c>
      <c r="D492" t="s">
        <v>363</v>
      </c>
      <c r="E492">
        <v>1</v>
      </c>
      <c r="F492" t="s">
        <v>1545</v>
      </c>
      <c r="G492" t="s">
        <v>118</v>
      </c>
      <c r="H492" t="s">
        <v>117</v>
      </c>
      <c r="I492">
        <v>0.88816930484339596</v>
      </c>
      <c r="J492">
        <v>0.87611376373336902</v>
      </c>
      <c r="K492">
        <v>44</v>
      </c>
      <c r="L492">
        <v>119</v>
      </c>
      <c r="M492">
        <v>485</v>
      </c>
      <c r="N492" t="s">
        <v>1533</v>
      </c>
      <c r="O492" t="s">
        <v>1544</v>
      </c>
      <c r="P492">
        <v>9221</v>
      </c>
      <c r="Q492">
        <v>5460</v>
      </c>
      <c r="R492" t="s">
        <v>1543</v>
      </c>
      <c r="S492" t="s">
        <v>1542</v>
      </c>
    </row>
    <row r="493" spans="1:19" x14ac:dyDescent="0.2">
      <c r="A493" t="s">
        <v>1541</v>
      </c>
      <c r="B493" t="s">
        <v>1540</v>
      </c>
      <c r="C493">
        <v>13</v>
      </c>
      <c r="D493" t="s">
        <v>111</v>
      </c>
      <c r="E493">
        <v>0</v>
      </c>
      <c r="F493" t="s">
        <v>1539</v>
      </c>
      <c r="G493" t="s">
        <v>229</v>
      </c>
      <c r="H493" t="s">
        <v>228</v>
      </c>
      <c r="M493">
        <v>14</v>
      </c>
      <c r="N493" t="s">
        <v>1533</v>
      </c>
      <c r="O493" t="s">
        <v>1532</v>
      </c>
      <c r="P493">
        <v>9224</v>
      </c>
      <c r="Q493">
        <v>5463</v>
      </c>
      <c r="R493" t="s">
        <v>1538</v>
      </c>
      <c r="S493" t="s">
        <v>1537</v>
      </c>
    </row>
    <row r="494" spans="1:19" x14ac:dyDescent="0.2">
      <c r="A494" t="s">
        <v>1536</v>
      </c>
      <c r="B494" t="s">
        <v>1535</v>
      </c>
      <c r="C494">
        <v>11</v>
      </c>
      <c r="D494" t="s">
        <v>111</v>
      </c>
      <c r="E494">
        <v>0</v>
      </c>
      <c r="F494" t="s">
        <v>1534</v>
      </c>
      <c r="G494" t="s">
        <v>109</v>
      </c>
      <c r="H494" t="s">
        <v>108</v>
      </c>
      <c r="M494">
        <v>1481</v>
      </c>
      <c r="N494" t="s">
        <v>1533</v>
      </c>
      <c r="O494" t="s">
        <v>1532</v>
      </c>
      <c r="P494">
        <v>21694</v>
      </c>
      <c r="Q494">
        <v>11281</v>
      </c>
      <c r="R494" t="s">
        <v>1531</v>
      </c>
      <c r="S494" t="s">
        <v>1530</v>
      </c>
    </row>
    <row r="495" spans="1:19" x14ac:dyDescent="0.2">
      <c r="A495" t="s">
        <v>1529</v>
      </c>
      <c r="B495" t="s">
        <v>1526</v>
      </c>
      <c r="C495">
        <v>17</v>
      </c>
      <c r="D495" t="s">
        <v>388</v>
      </c>
      <c r="E495">
        <v>0</v>
      </c>
      <c r="F495" t="s">
        <v>1528</v>
      </c>
      <c r="G495" t="s">
        <v>118</v>
      </c>
      <c r="H495" t="s">
        <v>117</v>
      </c>
      <c r="I495">
        <v>0.57552948131769899</v>
      </c>
      <c r="J495">
        <v>0.95586486824558903</v>
      </c>
      <c r="K495">
        <v>5</v>
      </c>
      <c r="L495">
        <v>20</v>
      </c>
      <c r="M495">
        <v>500</v>
      </c>
      <c r="N495" t="s">
        <v>698</v>
      </c>
      <c r="O495" t="s">
        <v>1512</v>
      </c>
      <c r="P495">
        <v>9232</v>
      </c>
      <c r="Q495">
        <v>5465</v>
      </c>
      <c r="R495" t="s">
        <v>1524</v>
      </c>
      <c r="S495" t="s">
        <v>1523</v>
      </c>
    </row>
    <row r="496" spans="1:19" x14ac:dyDescent="0.2">
      <c r="A496" t="s">
        <v>1527</v>
      </c>
      <c r="B496" t="s">
        <v>1526</v>
      </c>
      <c r="C496">
        <v>9</v>
      </c>
      <c r="D496" t="s">
        <v>388</v>
      </c>
      <c r="E496">
        <v>1</v>
      </c>
      <c r="F496" t="s">
        <v>1525</v>
      </c>
      <c r="G496" t="s">
        <v>118</v>
      </c>
      <c r="H496" t="s">
        <v>117</v>
      </c>
      <c r="I496">
        <v>0.553018956736399</v>
      </c>
      <c r="J496">
        <v>0.83269911023550003</v>
      </c>
      <c r="K496">
        <v>5</v>
      </c>
      <c r="L496">
        <v>20</v>
      </c>
      <c r="M496">
        <v>500</v>
      </c>
      <c r="N496" t="s">
        <v>698</v>
      </c>
      <c r="O496" t="s">
        <v>1512</v>
      </c>
      <c r="P496">
        <v>9232</v>
      </c>
      <c r="Q496">
        <v>5465</v>
      </c>
      <c r="R496" t="s">
        <v>1524</v>
      </c>
      <c r="S496" t="s">
        <v>1523</v>
      </c>
    </row>
    <row r="497" spans="1:19" x14ac:dyDescent="0.2">
      <c r="A497" t="s">
        <v>1522</v>
      </c>
      <c r="B497" t="s">
        <v>1521</v>
      </c>
      <c r="C497">
        <v>14</v>
      </c>
      <c r="D497" t="s">
        <v>111</v>
      </c>
      <c r="E497">
        <v>0</v>
      </c>
      <c r="F497" t="s">
        <v>1520</v>
      </c>
      <c r="G497" t="s">
        <v>229</v>
      </c>
      <c r="H497" t="s">
        <v>228</v>
      </c>
      <c r="M497">
        <v>18</v>
      </c>
      <c r="N497" t="s">
        <v>698</v>
      </c>
      <c r="O497" t="s">
        <v>1512</v>
      </c>
      <c r="P497">
        <v>9235</v>
      </c>
      <c r="Q497">
        <v>5467</v>
      </c>
      <c r="R497" t="s">
        <v>1519</v>
      </c>
      <c r="S497" t="s">
        <v>1518</v>
      </c>
    </row>
    <row r="498" spans="1:19" x14ac:dyDescent="0.2">
      <c r="A498" t="s">
        <v>1517</v>
      </c>
      <c r="B498" t="s">
        <v>1514</v>
      </c>
      <c r="C498">
        <v>17</v>
      </c>
      <c r="D498" t="s">
        <v>363</v>
      </c>
      <c r="E498">
        <v>0</v>
      </c>
      <c r="F498" t="s">
        <v>1516</v>
      </c>
      <c r="G498" t="s">
        <v>118</v>
      </c>
      <c r="H498" t="s">
        <v>117</v>
      </c>
      <c r="I498">
        <v>0.95836680636298599</v>
      </c>
      <c r="J498">
        <v>0.95698165957428305</v>
      </c>
      <c r="K498">
        <v>53</v>
      </c>
      <c r="L498">
        <v>114</v>
      </c>
      <c r="M498">
        <v>500</v>
      </c>
      <c r="N498" t="s">
        <v>698</v>
      </c>
      <c r="O498" t="s">
        <v>1512</v>
      </c>
      <c r="P498">
        <v>9236</v>
      </c>
      <c r="Q498">
        <v>5468</v>
      </c>
      <c r="R498" t="s">
        <v>1511</v>
      </c>
      <c r="S498" t="s">
        <v>1510</v>
      </c>
    </row>
    <row r="499" spans="1:19" x14ac:dyDescent="0.2">
      <c r="A499" t="s">
        <v>1515</v>
      </c>
      <c r="B499" t="s">
        <v>1514</v>
      </c>
      <c r="C499">
        <v>9</v>
      </c>
      <c r="D499" t="s">
        <v>363</v>
      </c>
      <c r="E499">
        <v>1</v>
      </c>
      <c r="F499" t="s">
        <v>1513</v>
      </c>
      <c r="G499" t="s">
        <v>118</v>
      </c>
      <c r="H499" t="s">
        <v>117</v>
      </c>
      <c r="I499">
        <v>0.80803741662752904</v>
      </c>
      <c r="J499">
        <v>0.835989075998681</v>
      </c>
      <c r="K499">
        <v>53</v>
      </c>
      <c r="L499">
        <v>114</v>
      </c>
      <c r="M499">
        <v>500</v>
      </c>
      <c r="N499" t="s">
        <v>698</v>
      </c>
      <c r="O499" t="s">
        <v>1512</v>
      </c>
      <c r="P499">
        <v>9236</v>
      </c>
      <c r="Q499">
        <v>5468</v>
      </c>
      <c r="R499" t="s">
        <v>1511</v>
      </c>
      <c r="S499" t="s">
        <v>1510</v>
      </c>
    </row>
    <row r="500" spans="1:19" x14ac:dyDescent="0.2">
      <c r="A500" t="s">
        <v>1509</v>
      </c>
      <c r="B500" t="s">
        <v>1508</v>
      </c>
      <c r="C500">
        <v>14</v>
      </c>
      <c r="D500" t="s">
        <v>363</v>
      </c>
      <c r="E500">
        <v>0</v>
      </c>
      <c r="F500" t="s">
        <v>1507</v>
      </c>
      <c r="G500" t="s">
        <v>118</v>
      </c>
      <c r="H500" t="s">
        <v>117</v>
      </c>
      <c r="I500">
        <v>0.914152225697348</v>
      </c>
      <c r="J500">
        <v>0.88901979040091905</v>
      </c>
      <c r="K500">
        <v>7</v>
      </c>
      <c r="L500">
        <v>11</v>
      </c>
      <c r="M500">
        <v>500</v>
      </c>
      <c r="N500" t="s">
        <v>107</v>
      </c>
      <c r="O500" t="s">
        <v>125</v>
      </c>
      <c r="P500">
        <v>14001</v>
      </c>
      <c r="Q500">
        <v>63978</v>
      </c>
      <c r="R500" t="s">
        <v>1506</v>
      </c>
      <c r="S500" t="s">
        <v>1505</v>
      </c>
    </row>
    <row r="501" spans="1:19" x14ac:dyDescent="0.2">
      <c r="A501" t="s">
        <v>1504</v>
      </c>
      <c r="B501" t="s">
        <v>1503</v>
      </c>
      <c r="C501">
        <v>14</v>
      </c>
      <c r="D501" t="s">
        <v>363</v>
      </c>
      <c r="E501">
        <v>0</v>
      </c>
      <c r="F501" t="s">
        <v>1502</v>
      </c>
      <c r="G501" t="s">
        <v>118</v>
      </c>
      <c r="H501" t="s">
        <v>117</v>
      </c>
      <c r="I501">
        <v>0.95938385119761804</v>
      </c>
      <c r="J501">
        <v>0.96246289190505896</v>
      </c>
      <c r="K501">
        <v>12</v>
      </c>
      <c r="L501">
        <v>9</v>
      </c>
      <c r="M501">
        <v>502</v>
      </c>
      <c r="N501" t="s">
        <v>107</v>
      </c>
      <c r="O501" t="s">
        <v>1501</v>
      </c>
      <c r="P501">
        <v>9346</v>
      </c>
      <c r="Q501">
        <v>639</v>
      </c>
      <c r="R501" t="s">
        <v>1500</v>
      </c>
      <c r="S501" t="s">
        <v>1499</v>
      </c>
    </row>
    <row r="502" spans="1:19" x14ac:dyDescent="0.2">
      <c r="A502" t="s">
        <v>1498</v>
      </c>
      <c r="B502" t="s">
        <v>1497</v>
      </c>
      <c r="C502">
        <v>16</v>
      </c>
      <c r="D502" t="s">
        <v>111</v>
      </c>
      <c r="E502">
        <v>0</v>
      </c>
      <c r="F502" t="s">
        <v>1496</v>
      </c>
      <c r="G502" t="s">
        <v>109</v>
      </c>
      <c r="H502" t="s">
        <v>108</v>
      </c>
      <c r="M502">
        <v>130</v>
      </c>
      <c r="N502" t="s">
        <v>137</v>
      </c>
      <c r="O502" t="s">
        <v>136</v>
      </c>
      <c r="P502">
        <v>9348</v>
      </c>
      <c r="Q502">
        <v>11108</v>
      </c>
      <c r="R502" t="s">
        <v>1495</v>
      </c>
      <c r="S502" t="s">
        <v>1494</v>
      </c>
    </row>
    <row r="503" spans="1:19" x14ac:dyDescent="0.2">
      <c r="A503" t="s">
        <v>1493</v>
      </c>
      <c r="B503" t="s">
        <v>1492</v>
      </c>
      <c r="C503">
        <v>13</v>
      </c>
      <c r="D503" t="s">
        <v>120</v>
      </c>
      <c r="E503">
        <v>0</v>
      </c>
      <c r="F503" t="s">
        <v>1491</v>
      </c>
      <c r="G503" t="s">
        <v>118</v>
      </c>
      <c r="H503" t="s">
        <v>117</v>
      </c>
      <c r="I503">
        <v>0.95128820469175102</v>
      </c>
      <c r="K503">
        <v>2</v>
      </c>
      <c r="M503">
        <v>500</v>
      </c>
      <c r="N503" t="s">
        <v>107</v>
      </c>
      <c r="O503" t="s">
        <v>125</v>
      </c>
      <c r="P503">
        <v>9350</v>
      </c>
      <c r="Q503">
        <v>93166</v>
      </c>
      <c r="R503" t="s">
        <v>1490</v>
      </c>
      <c r="S503" t="s">
        <v>1489</v>
      </c>
    </row>
    <row r="504" spans="1:19" x14ac:dyDescent="0.2">
      <c r="A504" t="s">
        <v>1488</v>
      </c>
      <c r="B504" t="s">
        <v>1485</v>
      </c>
      <c r="C504">
        <v>16</v>
      </c>
      <c r="D504" t="s">
        <v>363</v>
      </c>
      <c r="E504">
        <v>0</v>
      </c>
      <c r="F504" t="s">
        <v>1487</v>
      </c>
      <c r="G504" t="s">
        <v>118</v>
      </c>
      <c r="H504" t="s">
        <v>117</v>
      </c>
      <c r="I504">
        <v>0.97030236376316203</v>
      </c>
      <c r="J504">
        <v>0.95679394186214695</v>
      </c>
      <c r="K504">
        <v>51</v>
      </c>
      <c r="L504">
        <v>15</v>
      </c>
      <c r="M504">
        <v>315</v>
      </c>
      <c r="N504" t="s">
        <v>1483</v>
      </c>
      <c r="O504" t="s">
        <v>1482</v>
      </c>
      <c r="P504">
        <v>8910</v>
      </c>
      <c r="Q504">
        <v>5241</v>
      </c>
      <c r="R504" t="s">
        <v>1481</v>
      </c>
      <c r="S504" t="s">
        <v>1480</v>
      </c>
    </row>
    <row r="505" spans="1:19" x14ac:dyDescent="0.2">
      <c r="A505" t="s">
        <v>1486</v>
      </c>
      <c r="B505" t="s">
        <v>1485</v>
      </c>
      <c r="C505">
        <v>9</v>
      </c>
      <c r="D505" t="s">
        <v>363</v>
      </c>
      <c r="E505">
        <v>1</v>
      </c>
      <c r="F505" t="s">
        <v>1484</v>
      </c>
      <c r="G505" t="s">
        <v>118</v>
      </c>
      <c r="H505" t="s">
        <v>117</v>
      </c>
      <c r="I505">
        <v>0.87255060142788399</v>
      </c>
      <c r="J505">
        <v>0.85355622834769596</v>
      </c>
      <c r="K505">
        <v>51</v>
      </c>
      <c r="L505">
        <v>15</v>
      </c>
      <c r="M505">
        <v>500</v>
      </c>
      <c r="N505" t="s">
        <v>1483</v>
      </c>
      <c r="O505" t="s">
        <v>1482</v>
      </c>
      <c r="P505">
        <v>8910</v>
      </c>
      <c r="Q505">
        <v>5241</v>
      </c>
      <c r="R505" t="s">
        <v>1481</v>
      </c>
      <c r="S505" t="s">
        <v>1480</v>
      </c>
    </row>
    <row r="506" spans="1:19" x14ac:dyDescent="0.2">
      <c r="A506" t="s">
        <v>1479</v>
      </c>
      <c r="B506" t="s">
        <v>1478</v>
      </c>
      <c r="C506">
        <v>11</v>
      </c>
      <c r="D506" t="s">
        <v>111</v>
      </c>
      <c r="E506">
        <v>0</v>
      </c>
      <c r="F506" t="s">
        <v>1477</v>
      </c>
      <c r="G506" t="s">
        <v>118</v>
      </c>
      <c r="H506" t="s">
        <v>117</v>
      </c>
      <c r="J506">
        <v>0.92111377047588106</v>
      </c>
      <c r="L506">
        <v>3</v>
      </c>
      <c r="M506">
        <v>500</v>
      </c>
      <c r="N506" t="s">
        <v>671</v>
      </c>
      <c r="O506" t="s">
        <v>1476</v>
      </c>
      <c r="P506">
        <v>9455</v>
      </c>
      <c r="Q506">
        <v>5626</v>
      </c>
      <c r="R506" t="s">
        <v>1475</v>
      </c>
      <c r="S506" t="s">
        <v>1474</v>
      </c>
    </row>
    <row r="507" spans="1:19" x14ac:dyDescent="0.2">
      <c r="A507" t="s">
        <v>1473</v>
      </c>
      <c r="B507" t="s">
        <v>1472</v>
      </c>
      <c r="C507">
        <v>17</v>
      </c>
      <c r="D507" t="s">
        <v>111</v>
      </c>
      <c r="E507">
        <v>0</v>
      </c>
      <c r="F507" t="s">
        <v>1471</v>
      </c>
      <c r="G507" t="s">
        <v>109</v>
      </c>
      <c r="H507" t="s">
        <v>108</v>
      </c>
      <c r="M507">
        <v>773</v>
      </c>
      <c r="N507" t="s">
        <v>1470</v>
      </c>
      <c r="O507" t="s">
        <v>1469</v>
      </c>
      <c r="P507">
        <v>9459</v>
      </c>
      <c r="Q507">
        <v>5629</v>
      </c>
      <c r="R507" t="s">
        <v>1468</v>
      </c>
      <c r="S507" t="s">
        <v>1467</v>
      </c>
    </row>
    <row r="508" spans="1:19" x14ac:dyDescent="0.2">
      <c r="A508" t="s">
        <v>1466</v>
      </c>
      <c r="B508" t="s">
        <v>1465</v>
      </c>
      <c r="C508">
        <v>7</v>
      </c>
      <c r="D508" t="s">
        <v>111</v>
      </c>
      <c r="E508">
        <v>0</v>
      </c>
      <c r="F508" t="s">
        <v>1464</v>
      </c>
      <c r="G508" t="s">
        <v>229</v>
      </c>
      <c r="H508" t="s">
        <v>228</v>
      </c>
      <c r="M508">
        <v>4</v>
      </c>
      <c r="N508" t="s">
        <v>671</v>
      </c>
      <c r="O508" t="s">
        <v>1458</v>
      </c>
      <c r="P508">
        <v>9142</v>
      </c>
      <c r="Q508">
        <v>5396</v>
      </c>
      <c r="R508" t="s">
        <v>1463</v>
      </c>
      <c r="S508" t="s">
        <v>1462</v>
      </c>
    </row>
    <row r="509" spans="1:19" x14ac:dyDescent="0.2">
      <c r="A509" t="s">
        <v>1461</v>
      </c>
      <c r="B509" t="s">
        <v>1460</v>
      </c>
      <c r="C509">
        <v>7</v>
      </c>
      <c r="D509" t="s">
        <v>120</v>
      </c>
      <c r="E509">
        <v>0</v>
      </c>
      <c r="F509" t="s">
        <v>1459</v>
      </c>
      <c r="G509" t="s">
        <v>229</v>
      </c>
      <c r="H509" t="s">
        <v>228</v>
      </c>
      <c r="M509">
        <v>65</v>
      </c>
      <c r="N509" t="s">
        <v>671</v>
      </c>
      <c r="O509" t="s">
        <v>1458</v>
      </c>
      <c r="P509">
        <v>21338</v>
      </c>
      <c r="Q509">
        <v>51450</v>
      </c>
      <c r="R509" t="s">
        <v>1457</v>
      </c>
      <c r="S509" t="s">
        <v>1456</v>
      </c>
    </row>
    <row r="510" spans="1:19" x14ac:dyDescent="0.2">
      <c r="A510" t="s">
        <v>1455</v>
      </c>
      <c r="B510" t="s">
        <v>1452</v>
      </c>
      <c r="C510">
        <v>18</v>
      </c>
      <c r="D510" t="s">
        <v>388</v>
      </c>
      <c r="E510">
        <v>0</v>
      </c>
      <c r="F510" t="s">
        <v>1454</v>
      </c>
      <c r="G510" t="s">
        <v>118</v>
      </c>
      <c r="H510" t="s">
        <v>117</v>
      </c>
      <c r="J510">
        <v>0.96330669033315497</v>
      </c>
      <c r="L510">
        <v>20</v>
      </c>
      <c r="M510">
        <v>500</v>
      </c>
      <c r="N510" t="s">
        <v>753</v>
      </c>
      <c r="O510" t="s">
        <v>752</v>
      </c>
      <c r="P510">
        <v>23734</v>
      </c>
      <c r="Q510">
        <v>256297</v>
      </c>
      <c r="R510" t="s">
        <v>1450</v>
      </c>
      <c r="S510" t="s">
        <v>1449</v>
      </c>
    </row>
    <row r="511" spans="1:19" x14ac:dyDescent="0.2">
      <c r="A511" t="s">
        <v>1453</v>
      </c>
      <c r="B511" t="s">
        <v>1452</v>
      </c>
      <c r="C511">
        <v>9</v>
      </c>
      <c r="D511" t="s">
        <v>388</v>
      </c>
      <c r="E511">
        <v>1</v>
      </c>
      <c r="F511" t="s">
        <v>1451</v>
      </c>
      <c r="G511" t="s">
        <v>118</v>
      </c>
      <c r="H511" t="s">
        <v>117</v>
      </c>
      <c r="J511">
        <v>0.93044938979524405</v>
      </c>
      <c r="L511">
        <v>20</v>
      </c>
      <c r="M511">
        <v>503</v>
      </c>
      <c r="N511" t="s">
        <v>753</v>
      </c>
      <c r="O511" t="s">
        <v>752</v>
      </c>
      <c r="P511">
        <v>23734</v>
      </c>
      <c r="Q511">
        <v>256297</v>
      </c>
      <c r="R511" t="s">
        <v>1450</v>
      </c>
      <c r="S511" t="s">
        <v>1449</v>
      </c>
    </row>
    <row r="512" spans="1:19" x14ac:dyDescent="0.2">
      <c r="A512" t="s">
        <v>1448</v>
      </c>
      <c r="B512" t="s">
        <v>1447</v>
      </c>
      <c r="C512">
        <v>17</v>
      </c>
      <c r="D512" t="s">
        <v>111</v>
      </c>
      <c r="E512">
        <v>0</v>
      </c>
      <c r="F512" t="s">
        <v>1446</v>
      </c>
      <c r="G512" t="s">
        <v>229</v>
      </c>
      <c r="H512" t="s">
        <v>228</v>
      </c>
      <c r="M512">
        <v>13</v>
      </c>
      <c r="N512" t="s">
        <v>1445</v>
      </c>
      <c r="O512" t="s">
        <v>1444</v>
      </c>
      <c r="P512">
        <v>9701</v>
      </c>
      <c r="Q512">
        <v>5813</v>
      </c>
      <c r="R512" t="s">
        <v>1443</v>
      </c>
      <c r="S512" t="s">
        <v>1442</v>
      </c>
    </row>
    <row r="513" spans="1:19" x14ac:dyDescent="0.2">
      <c r="A513" t="s">
        <v>1441</v>
      </c>
      <c r="B513" t="s">
        <v>1436</v>
      </c>
      <c r="C513">
        <v>20</v>
      </c>
      <c r="D513" t="s">
        <v>363</v>
      </c>
      <c r="E513">
        <v>0</v>
      </c>
      <c r="F513" t="s">
        <v>1440</v>
      </c>
      <c r="G513" t="s">
        <v>118</v>
      </c>
      <c r="H513" t="s">
        <v>117</v>
      </c>
      <c r="I513">
        <v>0.95076615360751005</v>
      </c>
      <c r="J513">
        <v>0.92745738231409802</v>
      </c>
      <c r="K513">
        <v>29</v>
      </c>
      <c r="L513">
        <v>32</v>
      </c>
      <c r="M513">
        <v>499</v>
      </c>
      <c r="N513" t="s">
        <v>698</v>
      </c>
      <c r="O513" t="s">
        <v>1420</v>
      </c>
      <c r="P513">
        <v>9864</v>
      </c>
      <c r="Q513">
        <v>5914</v>
      </c>
      <c r="R513" t="s">
        <v>1434</v>
      </c>
      <c r="S513" t="s">
        <v>1433</v>
      </c>
    </row>
    <row r="514" spans="1:19" x14ac:dyDescent="0.2">
      <c r="A514" t="s">
        <v>1439</v>
      </c>
      <c r="B514" t="s">
        <v>1436</v>
      </c>
      <c r="C514">
        <v>10</v>
      </c>
      <c r="D514" t="s">
        <v>363</v>
      </c>
      <c r="E514">
        <v>1</v>
      </c>
      <c r="F514" t="s">
        <v>1438</v>
      </c>
      <c r="G514" t="s">
        <v>118</v>
      </c>
      <c r="H514" t="s">
        <v>117</v>
      </c>
      <c r="I514">
        <v>0.94815881182268702</v>
      </c>
      <c r="J514">
        <v>0.87428917744258905</v>
      </c>
      <c r="K514">
        <v>29</v>
      </c>
      <c r="L514">
        <v>32</v>
      </c>
      <c r="M514">
        <v>501</v>
      </c>
      <c r="N514" t="s">
        <v>698</v>
      </c>
      <c r="O514" t="s">
        <v>1420</v>
      </c>
      <c r="P514">
        <v>9864</v>
      </c>
      <c r="Q514">
        <v>5914</v>
      </c>
      <c r="R514" t="s">
        <v>1434</v>
      </c>
      <c r="S514" t="s">
        <v>1433</v>
      </c>
    </row>
    <row r="515" spans="1:19" x14ac:dyDescent="0.2">
      <c r="A515" t="s">
        <v>1437</v>
      </c>
      <c r="B515" t="s">
        <v>1436</v>
      </c>
      <c r="C515">
        <v>17</v>
      </c>
      <c r="D515" t="s">
        <v>363</v>
      </c>
      <c r="E515">
        <v>2</v>
      </c>
      <c r="F515" t="s">
        <v>1435</v>
      </c>
      <c r="G515" t="s">
        <v>229</v>
      </c>
      <c r="H515" t="s">
        <v>228</v>
      </c>
      <c r="I515">
        <v>0.80612178684431302</v>
      </c>
      <c r="J515">
        <v>0.84386370968034496</v>
      </c>
      <c r="K515">
        <v>29</v>
      </c>
      <c r="L515">
        <v>32</v>
      </c>
      <c r="M515">
        <v>122</v>
      </c>
      <c r="N515" t="s">
        <v>698</v>
      </c>
      <c r="O515" t="s">
        <v>1420</v>
      </c>
      <c r="P515">
        <v>9864</v>
      </c>
      <c r="Q515">
        <v>5914</v>
      </c>
      <c r="R515" t="s">
        <v>1434</v>
      </c>
      <c r="S515" t="s">
        <v>1433</v>
      </c>
    </row>
    <row r="516" spans="1:19" x14ac:dyDescent="0.2">
      <c r="A516" t="s">
        <v>1432</v>
      </c>
      <c r="B516" t="s">
        <v>1431</v>
      </c>
      <c r="C516">
        <v>11</v>
      </c>
      <c r="D516" t="s">
        <v>111</v>
      </c>
      <c r="E516">
        <v>0</v>
      </c>
      <c r="F516" t="s">
        <v>1430</v>
      </c>
      <c r="G516" t="s">
        <v>229</v>
      </c>
      <c r="H516" t="s">
        <v>228</v>
      </c>
      <c r="M516">
        <v>25</v>
      </c>
      <c r="N516" t="s">
        <v>698</v>
      </c>
      <c r="O516" t="s">
        <v>1420</v>
      </c>
      <c r="P516">
        <v>9865</v>
      </c>
      <c r="Q516">
        <v>5915</v>
      </c>
      <c r="R516" t="s">
        <v>1429</v>
      </c>
      <c r="S516" t="s">
        <v>1428</v>
      </c>
    </row>
    <row r="517" spans="1:19" x14ac:dyDescent="0.2">
      <c r="A517" t="s">
        <v>1427</v>
      </c>
      <c r="B517" t="s">
        <v>1422</v>
      </c>
      <c r="C517">
        <v>18</v>
      </c>
      <c r="D517" t="s">
        <v>388</v>
      </c>
      <c r="E517">
        <v>0</v>
      </c>
      <c r="F517" t="s">
        <v>1426</v>
      </c>
      <c r="G517" t="s">
        <v>118</v>
      </c>
      <c r="H517" t="s">
        <v>117</v>
      </c>
      <c r="I517">
        <v>0.82689003578022102</v>
      </c>
      <c r="K517">
        <v>12</v>
      </c>
      <c r="M517">
        <v>500</v>
      </c>
      <c r="N517" t="s">
        <v>698</v>
      </c>
      <c r="O517" t="s">
        <v>1420</v>
      </c>
      <c r="P517">
        <v>9866</v>
      </c>
      <c r="Q517">
        <v>5916</v>
      </c>
      <c r="R517" t="s">
        <v>1419</v>
      </c>
      <c r="S517" t="s">
        <v>1418</v>
      </c>
    </row>
    <row r="518" spans="1:19" x14ac:dyDescent="0.2">
      <c r="A518" t="s">
        <v>1425</v>
      </c>
      <c r="B518" t="s">
        <v>1422</v>
      </c>
      <c r="C518">
        <v>8</v>
      </c>
      <c r="D518" t="s">
        <v>388</v>
      </c>
      <c r="E518">
        <v>1</v>
      </c>
      <c r="F518" t="s">
        <v>1424</v>
      </c>
      <c r="G518" t="s">
        <v>118</v>
      </c>
      <c r="H518" t="s">
        <v>117</v>
      </c>
      <c r="I518">
        <v>0.81538131798292302</v>
      </c>
      <c r="K518">
        <v>12</v>
      </c>
      <c r="M518">
        <v>394</v>
      </c>
      <c r="N518" t="s">
        <v>698</v>
      </c>
      <c r="O518" t="s">
        <v>1420</v>
      </c>
      <c r="P518">
        <v>9866</v>
      </c>
      <c r="Q518">
        <v>5916</v>
      </c>
      <c r="R518" t="s">
        <v>1419</v>
      </c>
      <c r="S518" t="s">
        <v>1418</v>
      </c>
    </row>
    <row r="519" spans="1:19" x14ac:dyDescent="0.2">
      <c r="A519" t="s">
        <v>1423</v>
      </c>
      <c r="B519" t="s">
        <v>1422</v>
      </c>
      <c r="C519">
        <v>20</v>
      </c>
      <c r="D519" t="s">
        <v>111</v>
      </c>
      <c r="E519">
        <v>2</v>
      </c>
      <c r="F519" t="s">
        <v>1421</v>
      </c>
      <c r="G519" t="s">
        <v>229</v>
      </c>
      <c r="H519" t="s">
        <v>228</v>
      </c>
      <c r="I519">
        <v>0.65554866062191997</v>
      </c>
      <c r="K519">
        <v>12</v>
      </c>
      <c r="M519">
        <v>24</v>
      </c>
      <c r="N519" t="s">
        <v>698</v>
      </c>
      <c r="O519" t="s">
        <v>1420</v>
      </c>
      <c r="P519">
        <v>9866</v>
      </c>
      <c r="Q519">
        <v>5916</v>
      </c>
      <c r="R519" t="s">
        <v>1419</v>
      </c>
      <c r="S519" t="s">
        <v>1418</v>
      </c>
    </row>
    <row r="520" spans="1:19" x14ac:dyDescent="0.2">
      <c r="A520" t="s">
        <v>1417</v>
      </c>
      <c r="B520" t="s">
        <v>1416</v>
      </c>
      <c r="C520">
        <v>12</v>
      </c>
      <c r="D520" t="s">
        <v>111</v>
      </c>
      <c r="E520">
        <v>0</v>
      </c>
      <c r="F520" t="s">
        <v>1415</v>
      </c>
      <c r="G520" t="s">
        <v>109</v>
      </c>
      <c r="H520" t="s">
        <v>108</v>
      </c>
      <c r="M520">
        <v>33721</v>
      </c>
      <c r="N520" t="s">
        <v>671</v>
      </c>
      <c r="O520" t="s">
        <v>1297</v>
      </c>
      <c r="P520">
        <v>18286</v>
      </c>
      <c r="Q520">
        <v>84839</v>
      </c>
      <c r="R520" t="s">
        <v>1414</v>
      </c>
      <c r="S520" t="s">
        <v>1413</v>
      </c>
    </row>
    <row r="521" spans="1:19" x14ac:dyDescent="0.2">
      <c r="A521" t="s">
        <v>1412</v>
      </c>
      <c r="B521" t="s">
        <v>1411</v>
      </c>
      <c r="C521">
        <v>12</v>
      </c>
      <c r="D521" t="s">
        <v>120</v>
      </c>
      <c r="E521">
        <v>0</v>
      </c>
      <c r="F521" t="s">
        <v>1410</v>
      </c>
      <c r="G521" t="s">
        <v>229</v>
      </c>
      <c r="H521" t="s">
        <v>228</v>
      </c>
      <c r="M521">
        <v>28</v>
      </c>
      <c r="N521" t="s">
        <v>858</v>
      </c>
      <c r="O521" t="s">
        <v>857</v>
      </c>
      <c r="P521">
        <v>9956</v>
      </c>
      <c r="Q521">
        <v>5971</v>
      </c>
      <c r="R521" t="s">
        <v>1409</v>
      </c>
      <c r="S521" t="s">
        <v>1408</v>
      </c>
    </row>
    <row r="522" spans="1:19" x14ac:dyDescent="0.2">
      <c r="A522" t="s">
        <v>1407</v>
      </c>
      <c r="B522" t="s">
        <v>1406</v>
      </c>
      <c r="C522">
        <v>15</v>
      </c>
      <c r="D522" t="s">
        <v>388</v>
      </c>
      <c r="E522">
        <v>0</v>
      </c>
      <c r="F522" t="s">
        <v>1405</v>
      </c>
      <c r="G522" t="s">
        <v>118</v>
      </c>
      <c r="H522" t="s">
        <v>117</v>
      </c>
      <c r="J522">
        <v>0.92105028533603905</v>
      </c>
      <c r="L522">
        <v>11</v>
      </c>
      <c r="M522">
        <v>178</v>
      </c>
      <c r="N522" t="s">
        <v>858</v>
      </c>
      <c r="O522" t="s">
        <v>857</v>
      </c>
      <c r="P522">
        <v>9954</v>
      </c>
      <c r="Q522">
        <v>5966</v>
      </c>
      <c r="R522" t="s">
        <v>1404</v>
      </c>
      <c r="S522" t="s">
        <v>1403</v>
      </c>
    </row>
    <row r="523" spans="1:19" x14ac:dyDescent="0.2">
      <c r="A523" t="s">
        <v>1402</v>
      </c>
      <c r="B523" t="s">
        <v>1401</v>
      </c>
      <c r="C523">
        <v>22</v>
      </c>
      <c r="D523" t="s">
        <v>363</v>
      </c>
      <c r="E523">
        <v>0</v>
      </c>
      <c r="F523" t="s">
        <v>1400</v>
      </c>
      <c r="G523" t="s">
        <v>118</v>
      </c>
      <c r="H523" t="s">
        <v>117</v>
      </c>
      <c r="I523">
        <v>0.99107749783161003</v>
      </c>
      <c r="J523">
        <v>0.98042583686544904</v>
      </c>
      <c r="K523">
        <v>147</v>
      </c>
      <c r="L523">
        <v>33</v>
      </c>
      <c r="M523">
        <v>500</v>
      </c>
      <c r="N523" t="s">
        <v>137</v>
      </c>
      <c r="O523" t="s">
        <v>136</v>
      </c>
      <c r="P523">
        <v>9966</v>
      </c>
      <c r="Q523">
        <v>5978</v>
      </c>
      <c r="R523" t="s">
        <v>1399</v>
      </c>
      <c r="S523" t="s">
        <v>1398</v>
      </c>
    </row>
    <row r="524" spans="1:19" x14ac:dyDescent="0.2">
      <c r="A524" t="s">
        <v>1397</v>
      </c>
      <c r="B524" t="s">
        <v>1394</v>
      </c>
      <c r="C524">
        <v>22</v>
      </c>
      <c r="D524" t="s">
        <v>388</v>
      </c>
      <c r="E524">
        <v>0</v>
      </c>
      <c r="F524" t="s">
        <v>1396</v>
      </c>
      <c r="G524" t="s">
        <v>109</v>
      </c>
      <c r="H524" t="s">
        <v>117</v>
      </c>
      <c r="I524">
        <v>0.71203600304253001</v>
      </c>
      <c r="J524">
        <v>0.994563137427108</v>
      </c>
      <c r="K524">
        <v>3</v>
      </c>
      <c r="L524">
        <v>7</v>
      </c>
      <c r="M524">
        <v>457</v>
      </c>
      <c r="N524" t="s">
        <v>1364</v>
      </c>
      <c r="O524" t="s">
        <v>1392</v>
      </c>
      <c r="P524">
        <v>9982</v>
      </c>
      <c r="Q524">
        <v>5989</v>
      </c>
      <c r="R524" t="s">
        <v>1391</v>
      </c>
      <c r="S524" t="s">
        <v>1390</v>
      </c>
    </row>
    <row r="525" spans="1:19" x14ac:dyDescent="0.2">
      <c r="A525" t="s">
        <v>1395</v>
      </c>
      <c r="B525" t="s">
        <v>1394</v>
      </c>
      <c r="C525">
        <v>11</v>
      </c>
      <c r="D525" t="s">
        <v>388</v>
      </c>
      <c r="E525">
        <v>1</v>
      </c>
      <c r="F525" t="s">
        <v>1393</v>
      </c>
      <c r="G525" t="s">
        <v>118</v>
      </c>
      <c r="H525" t="s">
        <v>117</v>
      </c>
      <c r="I525">
        <v>0.57407272542397203</v>
      </c>
      <c r="J525">
        <v>0.99389787757456105</v>
      </c>
      <c r="K525">
        <v>3</v>
      </c>
      <c r="L525">
        <v>7</v>
      </c>
      <c r="M525">
        <v>500</v>
      </c>
      <c r="N525" t="s">
        <v>1364</v>
      </c>
      <c r="O525" t="s">
        <v>1392</v>
      </c>
      <c r="P525">
        <v>9982</v>
      </c>
      <c r="Q525">
        <v>5989</v>
      </c>
      <c r="R525" t="s">
        <v>1391</v>
      </c>
      <c r="S525" t="s">
        <v>1390</v>
      </c>
    </row>
    <row r="526" spans="1:19" x14ac:dyDescent="0.2">
      <c r="A526" t="s">
        <v>1389</v>
      </c>
      <c r="B526" t="s">
        <v>1386</v>
      </c>
      <c r="C526">
        <v>18</v>
      </c>
      <c r="D526" t="s">
        <v>363</v>
      </c>
      <c r="E526">
        <v>0</v>
      </c>
      <c r="F526" t="s">
        <v>1388</v>
      </c>
      <c r="G526" t="s">
        <v>118</v>
      </c>
      <c r="H526" t="s">
        <v>117</v>
      </c>
      <c r="I526">
        <v>0.97587934039860702</v>
      </c>
      <c r="J526">
        <v>0.99111211465587701</v>
      </c>
      <c r="K526">
        <v>7</v>
      </c>
      <c r="L526">
        <v>7</v>
      </c>
      <c r="M526">
        <v>426</v>
      </c>
      <c r="N526" t="s">
        <v>1364</v>
      </c>
      <c r="O526" t="s">
        <v>1384</v>
      </c>
      <c r="P526">
        <v>9983</v>
      </c>
      <c r="Q526">
        <v>5990</v>
      </c>
      <c r="R526" t="s">
        <v>1383</v>
      </c>
      <c r="S526" t="s">
        <v>1382</v>
      </c>
    </row>
    <row r="527" spans="1:19" x14ac:dyDescent="0.2">
      <c r="A527" t="s">
        <v>1387</v>
      </c>
      <c r="B527" t="s">
        <v>1386</v>
      </c>
      <c r="C527">
        <v>12</v>
      </c>
      <c r="D527" t="s">
        <v>363</v>
      </c>
      <c r="E527">
        <v>1</v>
      </c>
      <c r="F527" t="s">
        <v>1385</v>
      </c>
      <c r="G527" t="s">
        <v>118</v>
      </c>
      <c r="H527" t="s">
        <v>117</v>
      </c>
      <c r="I527">
        <v>0.96493969653939105</v>
      </c>
      <c r="J527">
        <v>0.99604583081847797</v>
      </c>
      <c r="K527">
        <v>7</v>
      </c>
      <c r="L527">
        <v>7</v>
      </c>
      <c r="M527">
        <v>501</v>
      </c>
      <c r="N527" t="s">
        <v>1364</v>
      </c>
      <c r="O527" t="s">
        <v>1384</v>
      </c>
      <c r="P527">
        <v>9983</v>
      </c>
      <c r="Q527">
        <v>5990</v>
      </c>
      <c r="R527" t="s">
        <v>1383</v>
      </c>
      <c r="S527" t="s">
        <v>1382</v>
      </c>
    </row>
    <row r="528" spans="1:19" x14ac:dyDescent="0.2">
      <c r="A528" t="s">
        <v>1381</v>
      </c>
      <c r="B528" t="s">
        <v>1380</v>
      </c>
      <c r="C528">
        <v>14</v>
      </c>
      <c r="D528" t="s">
        <v>388</v>
      </c>
      <c r="E528">
        <v>0</v>
      </c>
      <c r="F528" t="s">
        <v>1379</v>
      </c>
      <c r="G528" t="s">
        <v>229</v>
      </c>
      <c r="H528" t="s">
        <v>228</v>
      </c>
      <c r="M528">
        <v>772</v>
      </c>
      <c r="N528" t="s">
        <v>1364</v>
      </c>
      <c r="O528" t="s">
        <v>1378</v>
      </c>
      <c r="P528">
        <v>9984</v>
      </c>
      <c r="Q528">
        <v>5991</v>
      </c>
      <c r="R528" t="s">
        <v>1377</v>
      </c>
      <c r="S528" t="s">
        <v>1376</v>
      </c>
    </row>
    <row r="529" spans="1:19" x14ac:dyDescent="0.2">
      <c r="A529" t="s">
        <v>1375</v>
      </c>
      <c r="B529" t="s">
        <v>1374</v>
      </c>
      <c r="C529">
        <v>15</v>
      </c>
      <c r="D529" t="s">
        <v>111</v>
      </c>
      <c r="E529">
        <v>0</v>
      </c>
      <c r="F529" t="s">
        <v>1373</v>
      </c>
      <c r="G529" t="s">
        <v>109</v>
      </c>
      <c r="H529" t="s">
        <v>108</v>
      </c>
      <c r="M529">
        <v>2791</v>
      </c>
      <c r="N529" t="s">
        <v>1364</v>
      </c>
      <c r="O529" t="s">
        <v>1372</v>
      </c>
      <c r="P529">
        <v>9985</v>
      </c>
      <c r="Q529">
        <v>5992</v>
      </c>
      <c r="R529" t="s">
        <v>1371</v>
      </c>
      <c r="S529" t="s">
        <v>1370</v>
      </c>
    </row>
    <row r="530" spans="1:19" x14ac:dyDescent="0.2">
      <c r="A530" t="s">
        <v>1369</v>
      </c>
      <c r="B530" t="s">
        <v>1366</v>
      </c>
      <c r="C530">
        <v>20</v>
      </c>
      <c r="D530" t="s">
        <v>363</v>
      </c>
      <c r="E530">
        <v>0</v>
      </c>
      <c r="F530" t="s">
        <v>1368</v>
      </c>
      <c r="G530" t="s">
        <v>118</v>
      </c>
      <c r="H530" t="s">
        <v>117</v>
      </c>
      <c r="I530">
        <v>0.97300379399067305</v>
      </c>
      <c r="K530">
        <v>14</v>
      </c>
      <c r="M530">
        <v>500</v>
      </c>
      <c r="N530" t="s">
        <v>1364</v>
      </c>
      <c r="O530" t="s">
        <v>1363</v>
      </c>
      <c r="P530">
        <v>9986</v>
      </c>
      <c r="Q530">
        <v>5993</v>
      </c>
      <c r="R530" t="s">
        <v>1362</v>
      </c>
      <c r="S530" t="s">
        <v>1361</v>
      </c>
    </row>
    <row r="531" spans="1:19" x14ac:dyDescent="0.2">
      <c r="A531" t="s">
        <v>1367</v>
      </c>
      <c r="B531" t="s">
        <v>1366</v>
      </c>
      <c r="C531">
        <v>11</v>
      </c>
      <c r="D531" t="s">
        <v>363</v>
      </c>
      <c r="E531">
        <v>1</v>
      </c>
      <c r="F531" t="s">
        <v>1365</v>
      </c>
      <c r="G531" t="s">
        <v>118</v>
      </c>
      <c r="H531" t="s">
        <v>117</v>
      </c>
      <c r="I531">
        <v>0.92583717791559805</v>
      </c>
      <c r="K531">
        <v>14</v>
      </c>
      <c r="M531">
        <v>167</v>
      </c>
      <c r="N531" t="s">
        <v>1364</v>
      </c>
      <c r="O531" t="s">
        <v>1363</v>
      </c>
      <c r="P531">
        <v>9986</v>
      </c>
      <c r="Q531">
        <v>5993</v>
      </c>
      <c r="R531" t="s">
        <v>1362</v>
      </c>
      <c r="S531" t="s">
        <v>1361</v>
      </c>
    </row>
    <row r="532" spans="1:19" x14ac:dyDescent="0.2">
      <c r="A532" t="s">
        <v>1360</v>
      </c>
      <c r="B532" t="s">
        <v>1359</v>
      </c>
      <c r="C532">
        <v>11</v>
      </c>
      <c r="D532" t="s">
        <v>111</v>
      </c>
      <c r="E532">
        <v>0</v>
      </c>
      <c r="F532" t="s">
        <v>1358</v>
      </c>
      <c r="G532" t="s">
        <v>109</v>
      </c>
      <c r="H532" t="s">
        <v>108</v>
      </c>
      <c r="M532">
        <v>3731</v>
      </c>
      <c r="N532" t="s">
        <v>671</v>
      </c>
      <c r="O532" t="s">
        <v>1357</v>
      </c>
      <c r="P532">
        <v>29993</v>
      </c>
      <c r="Q532">
        <v>158800</v>
      </c>
      <c r="R532" t="s">
        <v>1356</v>
      </c>
      <c r="S532" t="s">
        <v>1355</v>
      </c>
    </row>
    <row r="533" spans="1:19" x14ac:dyDescent="0.2">
      <c r="A533" t="s">
        <v>1354</v>
      </c>
      <c r="B533" t="s">
        <v>1353</v>
      </c>
      <c r="C533">
        <v>13</v>
      </c>
      <c r="D533" t="s">
        <v>120</v>
      </c>
      <c r="E533">
        <v>0</v>
      </c>
      <c r="F533" t="s">
        <v>1352</v>
      </c>
      <c r="G533" t="s">
        <v>118</v>
      </c>
      <c r="H533" t="s">
        <v>117</v>
      </c>
      <c r="I533">
        <v>0.68181199032708695</v>
      </c>
      <c r="J533">
        <v>0.787508102301955</v>
      </c>
      <c r="K533">
        <v>2</v>
      </c>
      <c r="L533">
        <v>5</v>
      </c>
      <c r="M533">
        <v>500</v>
      </c>
      <c r="N533" t="s">
        <v>698</v>
      </c>
      <c r="O533" t="s">
        <v>1346</v>
      </c>
      <c r="P533">
        <v>10258</v>
      </c>
      <c r="Q533">
        <v>6095</v>
      </c>
      <c r="R533" t="s">
        <v>1351</v>
      </c>
      <c r="S533" t="s">
        <v>1350</v>
      </c>
    </row>
    <row r="534" spans="1:19" x14ac:dyDescent="0.2">
      <c r="A534" t="s">
        <v>1349</v>
      </c>
      <c r="B534" t="s">
        <v>1348</v>
      </c>
      <c r="C534">
        <v>12</v>
      </c>
      <c r="D534" t="s">
        <v>120</v>
      </c>
      <c r="E534">
        <v>0</v>
      </c>
      <c r="F534" t="s">
        <v>1347</v>
      </c>
      <c r="G534" t="s">
        <v>118</v>
      </c>
      <c r="H534" t="s">
        <v>117</v>
      </c>
      <c r="J534">
        <v>0.91023709793820295</v>
      </c>
      <c r="L534">
        <v>19</v>
      </c>
      <c r="M534">
        <v>500</v>
      </c>
      <c r="N534" t="s">
        <v>698</v>
      </c>
      <c r="O534" t="s">
        <v>1346</v>
      </c>
      <c r="P534">
        <v>10260</v>
      </c>
      <c r="Q534">
        <v>6097</v>
      </c>
      <c r="R534" t="s">
        <v>1345</v>
      </c>
      <c r="S534" t="s">
        <v>1344</v>
      </c>
    </row>
    <row r="535" spans="1:19" x14ac:dyDescent="0.2">
      <c r="A535" t="s">
        <v>1343</v>
      </c>
      <c r="B535" t="s">
        <v>1342</v>
      </c>
      <c r="C535">
        <v>22</v>
      </c>
      <c r="D535" t="s">
        <v>111</v>
      </c>
      <c r="E535">
        <v>0</v>
      </c>
      <c r="F535" t="s">
        <v>1341</v>
      </c>
      <c r="G535" t="s">
        <v>229</v>
      </c>
      <c r="H535" t="s">
        <v>228</v>
      </c>
      <c r="M535">
        <v>26</v>
      </c>
      <c r="N535" t="s">
        <v>137</v>
      </c>
      <c r="O535" t="s">
        <v>136</v>
      </c>
      <c r="P535">
        <v>10449</v>
      </c>
      <c r="Q535">
        <v>6239</v>
      </c>
      <c r="R535" t="s">
        <v>1340</v>
      </c>
      <c r="S535" t="s">
        <v>1339</v>
      </c>
    </row>
    <row r="536" spans="1:19" x14ac:dyDescent="0.2">
      <c r="A536" t="s">
        <v>1338</v>
      </c>
      <c r="B536" t="s">
        <v>1337</v>
      </c>
      <c r="C536">
        <v>11</v>
      </c>
      <c r="D536" t="s">
        <v>363</v>
      </c>
      <c r="E536">
        <v>0</v>
      </c>
      <c r="F536" t="s">
        <v>1336</v>
      </c>
      <c r="G536" t="s">
        <v>118</v>
      </c>
      <c r="H536" t="s">
        <v>117</v>
      </c>
      <c r="I536">
        <v>0.963722196419319</v>
      </c>
      <c r="J536">
        <v>0.982846694683017</v>
      </c>
      <c r="K536">
        <v>115</v>
      </c>
      <c r="L536">
        <v>63</v>
      </c>
      <c r="M536">
        <v>500</v>
      </c>
      <c r="N536" t="s">
        <v>1323</v>
      </c>
      <c r="O536" t="s">
        <v>1335</v>
      </c>
      <c r="P536">
        <v>10471</v>
      </c>
      <c r="Q536">
        <v>861</v>
      </c>
      <c r="R536" t="s">
        <v>1334</v>
      </c>
      <c r="S536" t="s">
        <v>1333</v>
      </c>
    </row>
    <row r="537" spans="1:19" x14ac:dyDescent="0.2">
      <c r="A537" t="s">
        <v>1332</v>
      </c>
      <c r="B537" t="s">
        <v>1331</v>
      </c>
      <c r="C537">
        <v>14</v>
      </c>
      <c r="D537" t="s">
        <v>363</v>
      </c>
      <c r="E537">
        <v>0</v>
      </c>
      <c r="F537" t="s">
        <v>1330</v>
      </c>
      <c r="G537" t="s">
        <v>118</v>
      </c>
      <c r="H537" t="s">
        <v>117</v>
      </c>
      <c r="I537">
        <v>0.96536924941102198</v>
      </c>
      <c r="J537">
        <v>0.89410286842202302</v>
      </c>
      <c r="K537">
        <v>3</v>
      </c>
      <c r="L537">
        <v>25</v>
      </c>
      <c r="M537">
        <v>502</v>
      </c>
      <c r="N537" t="s">
        <v>1323</v>
      </c>
      <c r="O537" t="s">
        <v>1329</v>
      </c>
      <c r="P537">
        <v>10472</v>
      </c>
      <c r="Q537">
        <v>860</v>
      </c>
      <c r="R537" t="s">
        <v>1328</v>
      </c>
      <c r="S537" t="s">
        <v>1327</v>
      </c>
    </row>
    <row r="538" spans="1:19" x14ac:dyDescent="0.2">
      <c r="A538" t="s">
        <v>1326</v>
      </c>
      <c r="B538" t="s">
        <v>1325</v>
      </c>
      <c r="C538">
        <v>10</v>
      </c>
      <c r="D538" t="s">
        <v>363</v>
      </c>
      <c r="E538">
        <v>0</v>
      </c>
      <c r="F538" t="s">
        <v>1324</v>
      </c>
      <c r="G538" t="s">
        <v>118</v>
      </c>
      <c r="H538" t="s">
        <v>117</v>
      </c>
      <c r="I538">
        <v>0.996789997885551</v>
      </c>
      <c r="J538">
        <v>0.96645115030555795</v>
      </c>
      <c r="K538">
        <v>2</v>
      </c>
      <c r="L538">
        <v>27</v>
      </c>
      <c r="M538">
        <v>500</v>
      </c>
      <c r="N538" t="s">
        <v>1323</v>
      </c>
      <c r="O538" t="s">
        <v>1322</v>
      </c>
      <c r="P538">
        <v>10473</v>
      </c>
      <c r="Q538">
        <v>864</v>
      </c>
      <c r="R538" t="s">
        <v>1321</v>
      </c>
      <c r="S538" t="s">
        <v>1320</v>
      </c>
    </row>
    <row r="539" spans="1:19" x14ac:dyDescent="0.2">
      <c r="A539" t="s">
        <v>1319</v>
      </c>
      <c r="B539" t="s">
        <v>1316</v>
      </c>
      <c r="C539">
        <v>20</v>
      </c>
      <c r="D539" t="s">
        <v>363</v>
      </c>
      <c r="E539">
        <v>0</v>
      </c>
      <c r="F539" t="s">
        <v>1318</v>
      </c>
      <c r="G539" t="s">
        <v>118</v>
      </c>
      <c r="H539" t="s">
        <v>117</v>
      </c>
      <c r="I539">
        <v>0.86732134679024697</v>
      </c>
      <c r="J539">
        <v>0.91621443460282304</v>
      </c>
      <c r="K539">
        <v>52</v>
      </c>
      <c r="L539">
        <v>158</v>
      </c>
      <c r="M539">
        <v>500</v>
      </c>
      <c r="N539" t="s">
        <v>1304</v>
      </c>
      <c r="O539" t="s">
        <v>1303</v>
      </c>
      <c r="P539">
        <v>10477</v>
      </c>
      <c r="Q539">
        <v>6256</v>
      </c>
      <c r="R539" t="s">
        <v>1314</v>
      </c>
      <c r="S539" t="s">
        <v>1313</v>
      </c>
    </row>
    <row r="540" spans="1:19" x14ac:dyDescent="0.2">
      <c r="A540" t="s">
        <v>1317</v>
      </c>
      <c r="B540" t="s">
        <v>1316</v>
      </c>
      <c r="C540">
        <v>10</v>
      </c>
      <c r="D540" t="s">
        <v>363</v>
      </c>
      <c r="E540">
        <v>1</v>
      </c>
      <c r="F540" t="s">
        <v>1315</v>
      </c>
      <c r="G540" t="s">
        <v>118</v>
      </c>
      <c r="H540" t="s">
        <v>117</v>
      </c>
      <c r="I540">
        <v>0.86131598973369305</v>
      </c>
      <c r="J540">
        <v>0.90480627297041705</v>
      </c>
      <c r="K540">
        <v>52</v>
      </c>
      <c r="L540">
        <v>158</v>
      </c>
      <c r="M540">
        <v>500</v>
      </c>
      <c r="N540" t="s">
        <v>1304</v>
      </c>
      <c r="O540" t="s">
        <v>1303</v>
      </c>
      <c r="P540">
        <v>10477</v>
      </c>
      <c r="Q540">
        <v>6256</v>
      </c>
      <c r="R540" t="s">
        <v>1314</v>
      </c>
      <c r="S540" t="s">
        <v>1313</v>
      </c>
    </row>
    <row r="541" spans="1:19" x14ac:dyDescent="0.2">
      <c r="A541" t="s">
        <v>1312</v>
      </c>
      <c r="B541" t="s">
        <v>1311</v>
      </c>
      <c r="C541">
        <v>10</v>
      </c>
      <c r="D541" t="s">
        <v>120</v>
      </c>
      <c r="E541">
        <v>0</v>
      </c>
      <c r="F541" t="s">
        <v>1310</v>
      </c>
      <c r="G541" t="s">
        <v>229</v>
      </c>
      <c r="H541" t="s">
        <v>228</v>
      </c>
      <c r="M541">
        <v>30</v>
      </c>
      <c r="N541" t="s">
        <v>1304</v>
      </c>
      <c r="O541" t="s">
        <v>1303</v>
      </c>
      <c r="P541">
        <v>10478</v>
      </c>
      <c r="Q541">
        <v>6257</v>
      </c>
      <c r="R541" t="s">
        <v>1309</v>
      </c>
      <c r="S541" t="s">
        <v>1308</v>
      </c>
    </row>
    <row r="542" spans="1:19" x14ac:dyDescent="0.2">
      <c r="A542" t="s">
        <v>1307</v>
      </c>
      <c r="B542" t="s">
        <v>1306</v>
      </c>
      <c r="C542">
        <v>13</v>
      </c>
      <c r="D542" t="s">
        <v>388</v>
      </c>
      <c r="E542">
        <v>0</v>
      </c>
      <c r="F542" t="s">
        <v>1305</v>
      </c>
      <c r="G542" t="s">
        <v>229</v>
      </c>
      <c r="H542" t="s">
        <v>228</v>
      </c>
      <c r="M542">
        <v>584</v>
      </c>
      <c r="N542" t="s">
        <v>1304</v>
      </c>
      <c r="O542" t="s">
        <v>1303</v>
      </c>
      <c r="P542">
        <v>10479</v>
      </c>
      <c r="Q542">
        <v>6258</v>
      </c>
      <c r="R542" t="s">
        <v>1302</v>
      </c>
      <c r="S542" t="s">
        <v>1301</v>
      </c>
    </row>
    <row r="543" spans="1:19" x14ac:dyDescent="0.2">
      <c r="A543" t="s">
        <v>1300</v>
      </c>
      <c r="B543" t="s">
        <v>1299</v>
      </c>
      <c r="C543">
        <v>11</v>
      </c>
      <c r="D543" t="s">
        <v>111</v>
      </c>
      <c r="E543">
        <v>0</v>
      </c>
      <c r="F543" t="s">
        <v>1298</v>
      </c>
      <c r="G543" t="s">
        <v>109</v>
      </c>
      <c r="H543" t="s">
        <v>108</v>
      </c>
      <c r="M543">
        <v>340</v>
      </c>
      <c r="N543" t="s">
        <v>671</v>
      </c>
      <c r="O543" t="s">
        <v>1297</v>
      </c>
      <c r="P543">
        <v>18662</v>
      </c>
      <c r="Q543">
        <v>30062</v>
      </c>
      <c r="R543" t="s">
        <v>1296</v>
      </c>
      <c r="S543" t="s">
        <v>1295</v>
      </c>
    </row>
    <row r="544" spans="1:19" x14ac:dyDescent="0.2">
      <c r="A544" t="s">
        <v>1294</v>
      </c>
      <c r="B544" t="s">
        <v>1293</v>
      </c>
      <c r="C544">
        <v>10</v>
      </c>
      <c r="D544" t="s">
        <v>388</v>
      </c>
      <c r="E544">
        <v>0</v>
      </c>
      <c r="F544" t="s">
        <v>1292</v>
      </c>
      <c r="G544" t="s">
        <v>118</v>
      </c>
      <c r="H544" t="s">
        <v>117</v>
      </c>
      <c r="I544">
        <v>0.72389018686879503</v>
      </c>
      <c r="J544">
        <v>0.92380280202243303</v>
      </c>
      <c r="K544">
        <v>1</v>
      </c>
      <c r="L544">
        <v>21</v>
      </c>
      <c r="M544">
        <v>500</v>
      </c>
      <c r="N544" t="s">
        <v>137</v>
      </c>
      <c r="O544" t="s">
        <v>1291</v>
      </c>
      <c r="P544">
        <v>15924</v>
      </c>
      <c r="Q544">
        <v>57167</v>
      </c>
      <c r="R544" t="s">
        <v>1290</v>
      </c>
      <c r="S544" t="s">
        <v>1289</v>
      </c>
    </row>
    <row r="545" spans="1:19" x14ac:dyDescent="0.2">
      <c r="A545" t="s">
        <v>1288</v>
      </c>
      <c r="B545" t="s">
        <v>1287</v>
      </c>
      <c r="C545">
        <v>13</v>
      </c>
      <c r="D545" t="s">
        <v>111</v>
      </c>
      <c r="E545">
        <v>0</v>
      </c>
      <c r="F545" t="s">
        <v>1286</v>
      </c>
      <c r="G545" t="s">
        <v>109</v>
      </c>
      <c r="H545" t="s">
        <v>108</v>
      </c>
      <c r="M545">
        <v>179</v>
      </c>
      <c r="N545" t="s">
        <v>107</v>
      </c>
      <c r="O545" t="s">
        <v>1214</v>
      </c>
      <c r="P545">
        <v>15950</v>
      </c>
      <c r="Q545">
        <v>83482</v>
      </c>
      <c r="R545" t="s">
        <v>1285</v>
      </c>
      <c r="S545" t="s">
        <v>1284</v>
      </c>
    </row>
    <row r="546" spans="1:19" x14ac:dyDescent="0.2">
      <c r="A546" t="s">
        <v>1283</v>
      </c>
      <c r="B546" t="s">
        <v>1282</v>
      </c>
      <c r="C546">
        <v>13</v>
      </c>
      <c r="D546" t="s">
        <v>111</v>
      </c>
      <c r="E546">
        <v>0</v>
      </c>
      <c r="F546" t="s">
        <v>1281</v>
      </c>
      <c r="G546" t="s">
        <v>109</v>
      </c>
      <c r="H546" t="s">
        <v>108</v>
      </c>
      <c r="M546">
        <v>719</v>
      </c>
      <c r="N546" t="s">
        <v>107</v>
      </c>
      <c r="O546" t="s">
        <v>1214</v>
      </c>
      <c r="P546">
        <v>15952</v>
      </c>
      <c r="Q546">
        <v>85508</v>
      </c>
      <c r="R546" t="s">
        <v>1280</v>
      </c>
      <c r="S546" t="s">
        <v>1279</v>
      </c>
    </row>
    <row r="547" spans="1:19" x14ac:dyDescent="0.2">
      <c r="A547" t="s">
        <v>1278</v>
      </c>
      <c r="B547" t="s">
        <v>1277</v>
      </c>
      <c r="C547">
        <v>17</v>
      </c>
      <c r="D547" t="s">
        <v>111</v>
      </c>
      <c r="E547">
        <v>0</v>
      </c>
      <c r="F547" t="s">
        <v>1272</v>
      </c>
      <c r="G547" t="s">
        <v>109</v>
      </c>
      <c r="H547" t="s">
        <v>108</v>
      </c>
      <c r="M547">
        <v>30757</v>
      </c>
      <c r="N547" t="s">
        <v>671</v>
      </c>
      <c r="O547" t="s">
        <v>1271</v>
      </c>
      <c r="P547">
        <v>10854</v>
      </c>
      <c r="Q547">
        <v>6474</v>
      </c>
      <c r="R547" t="s">
        <v>1276</v>
      </c>
      <c r="S547" t="s">
        <v>1275</v>
      </c>
    </row>
    <row r="548" spans="1:19" x14ac:dyDescent="0.2">
      <c r="A548" t="s">
        <v>1274</v>
      </c>
      <c r="B548" t="s">
        <v>1273</v>
      </c>
      <c r="C548">
        <v>17</v>
      </c>
      <c r="D548" t="s">
        <v>111</v>
      </c>
      <c r="E548">
        <v>0</v>
      </c>
      <c r="F548" t="s">
        <v>1272</v>
      </c>
      <c r="G548" t="s">
        <v>109</v>
      </c>
      <c r="H548" t="s">
        <v>108</v>
      </c>
      <c r="M548">
        <v>17808</v>
      </c>
      <c r="N548" t="s">
        <v>671</v>
      </c>
      <c r="O548" t="s">
        <v>1271</v>
      </c>
      <c r="P548">
        <v>10853</v>
      </c>
      <c r="Q548">
        <v>6473</v>
      </c>
      <c r="R548" t="s">
        <v>1270</v>
      </c>
      <c r="S548" t="s">
        <v>1269</v>
      </c>
    </row>
    <row r="549" spans="1:19" x14ac:dyDescent="0.2">
      <c r="A549" t="s">
        <v>1268</v>
      </c>
      <c r="B549" t="s">
        <v>1267</v>
      </c>
      <c r="C549">
        <v>14</v>
      </c>
      <c r="D549" t="s">
        <v>363</v>
      </c>
      <c r="E549">
        <v>0</v>
      </c>
      <c r="F549" t="s">
        <v>1266</v>
      </c>
      <c r="G549" t="s">
        <v>118</v>
      </c>
      <c r="H549" t="s">
        <v>117</v>
      </c>
      <c r="I549">
        <v>0.96092364381056905</v>
      </c>
      <c r="K549">
        <v>6</v>
      </c>
      <c r="M549">
        <v>500</v>
      </c>
      <c r="N549" t="s">
        <v>1260</v>
      </c>
      <c r="O549" t="s">
        <v>1259</v>
      </c>
      <c r="P549">
        <v>10887</v>
      </c>
      <c r="Q549">
        <v>6495</v>
      </c>
      <c r="R549" t="s">
        <v>1265</v>
      </c>
      <c r="S549" t="s">
        <v>1264</v>
      </c>
    </row>
    <row r="550" spans="1:19" x14ac:dyDescent="0.2">
      <c r="A550" t="s">
        <v>1263</v>
      </c>
      <c r="B550" t="s">
        <v>1262</v>
      </c>
      <c r="C550">
        <v>13</v>
      </c>
      <c r="D550" t="s">
        <v>363</v>
      </c>
      <c r="E550">
        <v>0</v>
      </c>
      <c r="F550" t="s">
        <v>1261</v>
      </c>
      <c r="G550" t="s">
        <v>118</v>
      </c>
      <c r="H550" t="s">
        <v>117</v>
      </c>
      <c r="I550">
        <v>0.96829358848398195</v>
      </c>
      <c r="J550">
        <v>0.93673116710305704</v>
      </c>
      <c r="K550">
        <v>18</v>
      </c>
      <c r="L550">
        <v>9</v>
      </c>
      <c r="M550">
        <v>500</v>
      </c>
      <c r="N550" t="s">
        <v>1260</v>
      </c>
      <c r="O550" t="s">
        <v>1259</v>
      </c>
      <c r="P550">
        <v>10888</v>
      </c>
      <c r="Q550">
        <v>10736</v>
      </c>
      <c r="R550" t="s">
        <v>1258</v>
      </c>
      <c r="S550" t="s">
        <v>1257</v>
      </c>
    </row>
    <row r="551" spans="1:19" x14ac:dyDescent="0.2">
      <c r="A551" t="s">
        <v>1256</v>
      </c>
      <c r="B551" t="s">
        <v>1255</v>
      </c>
      <c r="C551">
        <v>12</v>
      </c>
      <c r="D551" t="s">
        <v>111</v>
      </c>
      <c r="E551">
        <v>0</v>
      </c>
      <c r="F551" t="s">
        <v>1254</v>
      </c>
      <c r="G551" t="s">
        <v>229</v>
      </c>
      <c r="H551" t="s">
        <v>228</v>
      </c>
      <c r="M551">
        <v>12</v>
      </c>
      <c r="N551" t="s">
        <v>1237</v>
      </c>
      <c r="O551" t="s">
        <v>1243</v>
      </c>
      <c r="P551">
        <v>6767</v>
      </c>
      <c r="Q551">
        <v>4086</v>
      </c>
      <c r="R551" t="s">
        <v>1253</v>
      </c>
      <c r="S551" t="s">
        <v>1252</v>
      </c>
    </row>
    <row r="552" spans="1:19" x14ac:dyDescent="0.2">
      <c r="A552" t="s">
        <v>1251</v>
      </c>
      <c r="B552" t="s">
        <v>1250</v>
      </c>
      <c r="C552">
        <v>12</v>
      </c>
      <c r="D552" t="s">
        <v>363</v>
      </c>
      <c r="E552">
        <v>0</v>
      </c>
      <c r="F552" t="s">
        <v>1249</v>
      </c>
      <c r="G552" t="s">
        <v>118</v>
      </c>
      <c r="H552" t="s">
        <v>117</v>
      </c>
      <c r="I552">
        <v>0.84777905882487203</v>
      </c>
      <c r="J552">
        <v>0.80802316731527002</v>
      </c>
      <c r="K552">
        <v>17</v>
      </c>
      <c r="L552">
        <v>26</v>
      </c>
      <c r="M552">
        <v>500</v>
      </c>
      <c r="N552" t="s">
        <v>1237</v>
      </c>
      <c r="O552" t="s">
        <v>1243</v>
      </c>
      <c r="P552">
        <v>6768</v>
      </c>
      <c r="Q552">
        <v>4087</v>
      </c>
      <c r="R552" t="s">
        <v>1248</v>
      </c>
      <c r="S552" t="s">
        <v>1247</v>
      </c>
    </row>
    <row r="553" spans="1:19" x14ac:dyDescent="0.2">
      <c r="A553" t="s">
        <v>1246</v>
      </c>
      <c r="B553" t="s">
        <v>1245</v>
      </c>
      <c r="C553">
        <v>12</v>
      </c>
      <c r="D553" t="s">
        <v>388</v>
      </c>
      <c r="E553">
        <v>0</v>
      </c>
      <c r="F553" t="s">
        <v>1244</v>
      </c>
      <c r="G553" t="s">
        <v>118</v>
      </c>
      <c r="H553" t="s">
        <v>117</v>
      </c>
      <c r="I553">
        <v>0.80642472645097696</v>
      </c>
      <c r="J553">
        <v>0.70653318999007897</v>
      </c>
      <c r="K553">
        <v>34</v>
      </c>
      <c r="L553">
        <v>30</v>
      </c>
      <c r="M553">
        <v>500</v>
      </c>
      <c r="N553" t="s">
        <v>1237</v>
      </c>
      <c r="O553" t="s">
        <v>1243</v>
      </c>
      <c r="P553">
        <v>6769</v>
      </c>
      <c r="Q553">
        <v>4088</v>
      </c>
      <c r="R553" t="s">
        <v>1242</v>
      </c>
      <c r="S553" t="s">
        <v>1241</v>
      </c>
    </row>
    <row r="554" spans="1:19" x14ac:dyDescent="0.2">
      <c r="A554" t="s">
        <v>1240</v>
      </c>
      <c r="B554" t="s">
        <v>1239</v>
      </c>
      <c r="C554">
        <v>13</v>
      </c>
      <c r="D554" t="s">
        <v>388</v>
      </c>
      <c r="E554">
        <v>0</v>
      </c>
      <c r="F554" t="s">
        <v>1238</v>
      </c>
      <c r="G554" t="s">
        <v>118</v>
      </c>
      <c r="H554" t="s">
        <v>117</v>
      </c>
      <c r="I554">
        <v>0.86932316855647296</v>
      </c>
      <c r="J554">
        <v>0.67139283719058596</v>
      </c>
      <c r="K554">
        <v>24</v>
      </c>
      <c r="L554">
        <v>3</v>
      </c>
      <c r="M554">
        <v>497</v>
      </c>
      <c r="N554" t="s">
        <v>1237</v>
      </c>
      <c r="O554" t="s">
        <v>1236</v>
      </c>
      <c r="P554">
        <v>6770</v>
      </c>
      <c r="Q554">
        <v>4089</v>
      </c>
      <c r="R554" t="s">
        <v>1235</v>
      </c>
      <c r="S554" t="s">
        <v>1234</v>
      </c>
    </row>
    <row r="555" spans="1:19" x14ac:dyDescent="0.2">
      <c r="A555" t="s">
        <v>1233</v>
      </c>
      <c r="B555" t="s">
        <v>48</v>
      </c>
      <c r="C555">
        <v>12</v>
      </c>
      <c r="D555" t="s">
        <v>120</v>
      </c>
      <c r="E555">
        <v>0</v>
      </c>
      <c r="F555" t="s">
        <v>1232</v>
      </c>
      <c r="G555" t="s">
        <v>118</v>
      </c>
      <c r="H555" t="s">
        <v>117</v>
      </c>
      <c r="I555">
        <v>0.91237938467355895</v>
      </c>
      <c r="K555">
        <v>3</v>
      </c>
      <c r="M555">
        <v>442</v>
      </c>
      <c r="N555" t="s">
        <v>1226</v>
      </c>
      <c r="O555" t="s">
        <v>1225</v>
      </c>
      <c r="P555">
        <v>11097</v>
      </c>
      <c r="Q555">
        <v>6594</v>
      </c>
      <c r="R555" t="s">
        <v>1231</v>
      </c>
      <c r="S555" t="s">
        <v>1230</v>
      </c>
    </row>
    <row r="556" spans="1:19" x14ac:dyDescent="0.2">
      <c r="A556" t="s">
        <v>1229</v>
      </c>
      <c r="B556" t="s">
        <v>1228</v>
      </c>
      <c r="C556">
        <v>15</v>
      </c>
      <c r="D556" t="s">
        <v>120</v>
      </c>
      <c r="E556">
        <v>0</v>
      </c>
      <c r="F556" t="s">
        <v>1227</v>
      </c>
      <c r="G556" t="s">
        <v>118</v>
      </c>
      <c r="H556" t="s">
        <v>117</v>
      </c>
      <c r="I556">
        <v>0.80501897753353202</v>
      </c>
      <c r="J556">
        <v>0.56463028007042104</v>
      </c>
      <c r="K556">
        <v>3</v>
      </c>
      <c r="L556">
        <v>2</v>
      </c>
      <c r="M556">
        <v>410</v>
      </c>
      <c r="N556" t="s">
        <v>1226</v>
      </c>
      <c r="O556" t="s">
        <v>1225</v>
      </c>
      <c r="P556">
        <v>11101</v>
      </c>
      <c r="Q556">
        <v>8467</v>
      </c>
      <c r="R556" t="s">
        <v>1224</v>
      </c>
      <c r="S556" t="s">
        <v>1223</v>
      </c>
    </row>
    <row r="557" spans="1:19" x14ac:dyDescent="0.2">
      <c r="A557" t="s">
        <v>1222</v>
      </c>
      <c r="B557" t="s">
        <v>1221</v>
      </c>
      <c r="C557">
        <v>8</v>
      </c>
      <c r="D557" t="s">
        <v>120</v>
      </c>
      <c r="E557">
        <v>0</v>
      </c>
      <c r="F557" t="s">
        <v>1220</v>
      </c>
      <c r="G557" t="s">
        <v>229</v>
      </c>
      <c r="H557" t="s">
        <v>228</v>
      </c>
      <c r="M557">
        <v>5</v>
      </c>
      <c r="N557" t="s">
        <v>107</v>
      </c>
      <c r="O557" t="s">
        <v>1214</v>
      </c>
      <c r="P557">
        <v>11128</v>
      </c>
      <c r="Q557">
        <v>6615</v>
      </c>
      <c r="R557" t="s">
        <v>1219</v>
      </c>
      <c r="S557" t="s">
        <v>1218</v>
      </c>
    </row>
    <row r="558" spans="1:19" x14ac:dyDescent="0.2">
      <c r="A558" t="s">
        <v>1217</v>
      </c>
      <c r="B558" t="s">
        <v>1216</v>
      </c>
      <c r="C558">
        <v>10</v>
      </c>
      <c r="D558" t="s">
        <v>363</v>
      </c>
      <c r="E558">
        <v>0</v>
      </c>
      <c r="F558" t="s">
        <v>1215</v>
      </c>
      <c r="G558" t="s">
        <v>118</v>
      </c>
      <c r="H558" t="s">
        <v>117</v>
      </c>
      <c r="I558">
        <v>0.98303525700521399</v>
      </c>
      <c r="J558">
        <v>0.84040131813950603</v>
      </c>
      <c r="K558">
        <v>11</v>
      </c>
      <c r="L558">
        <v>3</v>
      </c>
      <c r="M558">
        <v>500</v>
      </c>
      <c r="N558" t="s">
        <v>107</v>
      </c>
      <c r="O558" t="s">
        <v>1214</v>
      </c>
      <c r="P558">
        <v>11094</v>
      </c>
      <c r="Q558">
        <v>6591</v>
      </c>
      <c r="R558" t="s">
        <v>1213</v>
      </c>
      <c r="S558" t="s">
        <v>1212</v>
      </c>
    </row>
    <row r="559" spans="1:19" x14ac:dyDescent="0.2">
      <c r="A559" t="s">
        <v>1211</v>
      </c>
      <c r="B559" t="s">
        <v>1208</v>
      </c>
      <c r="C559">
        <v>16</v>
      </c>
      <c r="D559" t="s">
        <v>388</v>
      </c>
      <c r="E559">
        <v>0</v>
      </c>
      <c r="F559" t="s">
        <v>1210</v>
      </c>
      <c r="G559" t="s">
        <v>118</v>
      </c>
      <c r="H559" t="s">
        <v>117</v>
      </c>
      <c r="I559">
        <v>0.91038562372058696</v>
      </c>
      <c r="J559">
        <v>0.76320365913255805</v>
      </c>
      <c r="K559">
        <v>3</v>
      </c>
      <c r="L559">
        <v>3</v>
      </c>
      <c r="M559">
        <v>500</v>
      </c>
      <c r="N559" t="s">
        <v>1049</v>
      </c>
      <c r="O559" t="s">
        <v>1128</v>
      </c>
      <c r="P559">
        <v>11190</v>
      </c>
      <c r="Q559">
        <v>6663</v>
      </c>
      <c r="R559" t="s">
        <v>1206</v>
      </c>
      <c r="S559" t="s">
        <v>1205</v>
      </c>
    </row>
    <row r="560" spans="1:19" x14ac:dyDescent="0.2">
      <c r="A560" t="s">
        <v>1209</v>
      </c>
      <c r="B560" t="s">
        <v>1208</v>
      </c>
      <c r="C560">
        <v>13</v>
      </c>
      <c r="D560" t="s">
        <v>363</v>
      </c>
      <c r="E560">
        <v>1</v>
      </c>
      <c r="F560" t="s">
        <v>1207</v>
      </c>
      <c r="G560" t="s">
        <v>118</v>
      </c>
      <c r="H560" t="s">
        <v>117</v>
      </c>
      <c r="I560">
        <v>0.83265050705671695</v>
      </c>
      <c r="J560">
        <v>0.83229122125005806</v>
      </c>
      <c r="K560">
        <v>3</v>
      </c>
      <c r="L560">
        <v>3</v>
      </c>
      <c r="M560">
        <v>505</v>
      </c>
      <c r="N560" t="s">
        <v>1049</v>
      </c>
      <c r="O560" t="s">
        <v>1128</v>
      </c>
      <c r="P560">
        <v>11190</v>
      </c>
      <c r="Q560">
        <v>6663</v>
      </c>
      <c r="R560" t="s">
        <v>1206</v>
      </c>
      <c r="S560" t="s">
        <v>1205</v>
      </c>
    </row>
    <row r="561" spans="1:19" x14ac:dyDescent="0.2">
      <c r="A561" t="s">
        <v>1204</v>
      </c>
      <c r="B561" t="s">
        <v>1203</v>
      </c>
      <c r="C561">
        <v>16</v>
      </c>
      <c r="D561" t="s">
        <v>111</v>
      </c>
      <c r="E561">
        <v>0</v>
      </c>
      <c r="F561" t="s">
        <v>1202</v>
      </c>
      <c r="G561" t="s">
        <v>109</v>
      </c>
      <c r="H561" t="s">
        <v>108</v>
      </c>
      <c r="M561">
        <v>220</v>
      </c>
      <c r="N561" t="s">
        <v>1049</v>
      </c>
      <c r="O561" t="s">
        <v>1153</v>
      </c>
      <c r="P561">
        <v>11191</v>
      </c>
      <c r="Q561">
        <v>6664</v>
      </c>
      <c r="R561" t="s">
        <v>1201</v>
      </c>
      <c r="S561" t="s">
        <v>1200</v>
      </c>
    </row>
    <row r="562" spans="1:19" x14ac:dyDescent="0.2">
      <c r="A562" t="s">
        <v>1199</v>
      </c>
      <c r="B562" t="s">
        <v>1198</v>
      </c>
      <c r="C562">
        <v>8</v>
      </c>
      <c r="D562" t="s">
        <v>111</v>
      </c>
      <c r="E562">
        <v>0</v>
      </c>
      <c r="F562" t="s">
        <v>1197</v>
      </c>
      <c r="G562" t="s">
        <v>229</v>
      </c>
      <c r="H562" t="s">
        <v>228</v>
      </c>
      <c r="M562">
        <v>5</v>
      </c>
      <c r="N562" t="s">
        <v>1049</v>
      </c>
      <c r="O562" t="s">
        <v>1147</v>
      </c>
      <c r="P562">
        <v>11192</v>
      </c>
      <c r="Q562">
        <v>9580</v>
      </c>
      <c r="R562" t="s">
        <v>1196</v>
      </c>
      <c r="S562" t="s">
        <v>1195</v>
      </c>
    </row>
    <row r="563" spans="1:19" x14ac:dyDescent="0.2">
      <c r="A563" t="s">
        <v>1194</v>
      </c>
      <c r="B563" t="s">
        <v>1193</v>
      </c>
      <c r="C563">
        <v>7</v>
      </c>
      <c r="D563" t="s">
        <v>111</v>
      </c>
      <c r="E563">
        <v>0</v>
      </c>
      <c r="F563" t="s">
        <v>1192</v>
      </c>
      <c r="G563" t="s">
        <v>229</v>
      </c>
      <c r="H563" t="s">
        <v>228</v>
      </c>
      <c r="M563">
        <v>8</v>
      </c>
      <c r="N563" t="s">
        <v>1049</v>
      </c>
      <c r="O563" t="s">
        <v>1191</v>
      </c>
      <c r="P563">
        <v>11196</v>
      </c>
      <c r="Q563">
        <v>6665</v>
      </c>
      <c r="R563" t="s">
        <v>1190</v>
      </c>
      <c r="S563" t="s">
        <v>1189</v>
      </c>
    </row>
    <row r="564" spans="1:19" x14ac:dyDescent="0.2">
      <c r="A564" t="s">
        <v>1188</v>
      </c>
      <c r="B564" t="s">
        <v>1187</v>
      </c>
      <c r="C564">
        <v>11</v>
      </c>
      <c r="D564" t="s">
        <v>120</v>
      </c>
      <c r="E564">
        <v>0</v>
      </c>
      <c r="F564" t="s">
        <v>1186</v>
      </c>
      <c r="G564" t="s">
        <v>118</v>
      </c>
      <c r="H564" t="s">
        <v>117</v>
      </c>
      <c r="I564">
        <v>0.83477396273028703</v>
      </c>
      <c r="K564">
        <v>4</v>
      </c>
      <c r="M564">
        <v>500</v>
      </c>
      <c r="N564" t="s">
        <v>1049</v>
      </c>
      <c r="O564" t="s">
        <v>1141</v>
      </c>
      <c r="P564">
        <v>18122</v>
      </c>
      <c r="Q564">
        <v>64321</v>
      </c>
      <c r="R564" t="s">
        <v>1185</v>
      </c>
      <c r="S564" t="s">
        <v>1184</v>
      </c>
    </row>
    <row r="565" spans="1:19" x14ac:dyDescent="0.2">
      <c r="A565" t="s">
        <v>1183</v>
      </c>
      <c r="B565" t="s">
        <v>1182</v>
      </c>
      <c r="C565">
        <v>19</v>
      </c>
      <c r="D565" t="s">
        <v>111</v>
      </c>
      <c r="E565">
        <v>0</v>
      </c>
      <c r="F565" t="s">
        <v>1181</v>
      </c>
      <c r="G565" t="s">
        <v>229</v>
      </c>
      <c r="H565" t="s">
        <v>228</v>
      </c>
      <c r="M565">
        <v>8</v>
      </c>
      <c r="N565" t="s">
        <v>1049</v>
      </c>
      <c r="O565" t="s">
        <v>1141</v>
      </c>
      <c r="P565">
        <v>11194</v>
      </c>
      <c r="Q565">
        <v>54345</v>
      </c>
      <c r="R565" t="s">
        <v>1180</v>
      </c>
      <c r="S565" t="s">
        <v>1179</v>
      </c>
    </row>
    <row r="566" spans="1:19" x14ac:dyDescent="0.2">
      <c r="A566" t="s">
        <v>1178</v>
      </c>
      <c r="B566" t="s">
        <v>1177</v>
      </c>
      <c r="C566">
        <v>16</v>
      </c>
      <c r="D566" t="s">
        <v>111</v>
      </c>
      <c r="E566">
        <v>0</v>
      </c>
      <c r="F566" t="s">
        <v>1176</v>
      </c>
      <c r="G566" t="s">
        <v>109</v>
      </c>
      <c r="H566" t="s">
        <v>108</v>
      </c>
      <c r="M566">
        <v>40</v>
      </c>
      <c r="N566" t="s">
        <v>1049</v>
      </c>
      <c r="O566" t="s">
        <v>1158</v>
      </c>
      <c r="P566">
        <v>11189</v>
      </c>
      <c r="Q566">
        <v>6656</v>
      </c>
      <c r="R566" t="s">
        <v>1175</v>
      </c>
      <c r="S566" t="s">
        <v>1174</v>
      </c>
    </row>
    <row r="567" spans="1:19" x14ac:dyDescent="0.2">
      <c r="A567" t="s">
        <v>1173</v>
      </c>
      <c r="B567" t="s">
        <v>1172</v>
      </c>
      <c r="C567">
        <v>16</v>
      </c>
      <c r="D567" t="s">
        <v>111</v>
      </c>
      <c r="E567">
        <v>0</v>
      </c>
      <c r="F567" t="s">
        <v>1171</v>
      </c>
      <c r="G567" t="s">
        <v>109</v>
      </c>
      <c r="H567" t="s">
        <v>108</v>
      </c>
      <c r="M567">
        <v>14076</v>
      </c>
      <c r="N567" t="s">
        <v>1049</v>
      </c>
      <c r="O567" t="s">
        <v>1158</v>
      </c>
      <c r="P567">
        <v>11197</v>
      </c>
      <c r="Q567">
        <v>11166</v>
      </c>
      <c r="R567" t="s">
        <v>1170</v>
      </c>
      <c r="S567" t="s">
        <v>1169</v>
      </c>
    </row>
    <row r="568" spans="1:19" x14ac:dyDescent="0.2">
      <c r="A568" t="s">
        <v>1168</v>
      </c>
      <c r="B568" t="s">
        <v>1165</v>
      </c>
      <c r="C568">
        <v>13</v>
      </c>
      <c r="D568" t="s">
        <v>363</v>
      </c>
      <c r="E568">
        <v>0</v>
      </c>
      <c r="F568" t="s">
        <v>1167</v>
      </c>
      <c r="G568" t="s">
        <v>118</v>
      </c>
      <c r="H568" t="s">
        <v>117</v>
      </c>
      <c r="I568">
        <v>0.94424154853908704</v>
      </c>
      <c r="J568">
        <v>0.92175992814996799</v>
      </c>
      <c r="K568">
        <v>67</v>
      </c>
      <c r="L568">
        <v>109</v>
      </c>
      <c r="M568">
        <v>500</v>
      </c>
      <c r="N568" t="s">
        <v>1049</v>
      </c>
      <c r="O568" t="s">
        <v>1158</v>
      </c>
      <c r="P568">
        <v>11195</v>
      </c>
      <c r="Q568">
        <v>6657</v>
      </c>
      <c r="R568" t="s">
        <v>1163</v>
      </c>
      <c r="S568" t="s">
        <v>1162</v>
      </c>
    </row>
    <row r="569" spans="1:19" x14ac:dyDescent="0.2">
      <c r="A569" t="s">
        <v>1166</v>
      </c>
      <c r="B569" t="s">
        <v>1165</v>
      </c>
      <c r="C569">
        <v>16</v>
      </c>
      <c r="D569" t="s">
        <v>363</v>
      </c>
      <c r="E569">
        <v>1</v>
      </c>
      <c r="F569" t="s">
        <v>1164</v>
      </c>
      <c r="G569" t="s">
        <v>118</v>
      </c>
      <c r="H569" t="s">
        <v>117</v>
      </c>
      <c r="I569">
        <v>0.95738222759909297</v>
      </c>
      <c r="J569">
        <v>0.95530669673715196</v>
      </c>
      <c r="K569">
        <v>67</v>
      </c>
      <c r="L569">
        <v>109</v>
      </c>
      <c r="M569">
        <v>500</v>
      </c>
      <c r="N569" t="s">
        <v>1049</v>
      </c>
      <c r="O569" t="s">
        <v>1158</v>
      </c>
      <c r="P569">
        <v>11195</v>
      </c>
      <c r="Q569">
        <v>6657</v>
      </c>
      <c r="R569" t="s">
        <v>1163</v>
      </c>
      <c r="S569" t="s">
        <v>1162</v>
      </c>
    </row>
    <row r="570" spans="1:19" x14ac:dyDescent="0.2">
      <c r="A570" t="s">
        <v>1161</v>
      </c>
      <c r="B570" t="s">
        <v>1160</v>
      </c>
      <c r="C570">
        <v>11</v>
      </c>
      <c r="D570" t="s">
        <v>388</v>
      </c>
      <c r="E570">
        <v>0</v>
      </c>
      <c r="F570" t="s">
        <v>1159</v>
      </c>
      <c r="G570" t="s">
        <v>118</v>
      </c>
      <c r="H570" t="s">
        <v>117</v>
      </c>
      <c r="I570">
        <v>0.71692116174050202</v>
      </c>
      <c r="J570">
        <v>0.88243897562016604</v>
      </c>
      <c r="K570">
        <v>2</v>
      </c>
      <c r="L570">
        <v>4</v>
      </c>
      <c r="M570">
        <v>500</v>
      </c>
      <c r="N570" t="s">
        <v>1049</v>
      </c>
      <c r="O570" t="s">
        <v>1158</v>
      </c>
      <c r="P570">
        <v>11199</v>
      </c>
      <c r="Q570">
        <v>6658</v>
      </c>
      <c r="R570" t="s">
        <v>1157</v>
      </c>
      <c r="S570" t="s">
        <v>1156</v>
      </c>
    </row>
    <row r="571" spans="1:19" x14ac:dyDescent="0.2">
      <c r="A571" t="s">
        <v>1155</v>
      </c>
      <c r="B571" t="s">
        <v>11</v>
      </c>
      <c r="C571">
        <v>12</v>
      </c>
      <c r="D571" t="s">
        <v>388</v>
      </c>
      <c r="E571">
        <v>0</v>
      </c>
      <c r="F571" t="s">
        <v>1154</v>
      </c>
      <c r="G571" t="s">
        <v>118</v>
      </c>
      <c r="H571" t="s">
        <v>117</v>
      </c>
      <c r="I571">
        <v>0.63961473832043803</v>
      </c>
      <c r="J571">
        <v>0.978319052740521</v>
      </c>
      <c r="K571">
        <v>2</v>
      </c>
      <c r="L571">
        <v>7</v>
      </c>
      <c r="M571">
        <v>500</v>
      </c>
      <c r="N571" t="s">
        <v>1049</v>
      </c>
      <c r="O571" t="s">
        <v>1153</v>
      </c>
      <c r="P571">
        <v>11200</v>
      </c>
      <c r="Q571">
        <v>6659</v>
      </c>
      <c r="R571" t="s">
        <v>1152</v>
      </c>
      <c r="S571" t="s">
        <v>1151</v>
      </c>
    </row>
    <row r="572" spans="1:19" x14ac:dyDescent="0.2">
      <c r="A572" t="s">
        <v>1150</v>
      </c>
      <c r="B572" t="s">
        <v>1149</v>
      </c>
      <c r="C572">
        <v>8</v>
      </c>
      <c r="D572" t="s">
        <v>120</v>
      </c>
      <c r="E572">
        <v>0</v>
      </c>
      <c r="F572" t="s">
        <v>1148</v>
      </c>
      <c r="G572" t="s">
        <v>229</v>
      </c>
      <c r="H572" t="s">
        <v>228</v>
      </c>
      <c r="M572">
        <v>69</v>
      </c>
      <c r="N572" t="s">
        <v>1049</v>
      </c>
      <c r="O572" t="s">
        <v>1147</v>
      </c>
      <c r="P572">
        <v>11201</v>
      </c>
      <c r="Q572">
        <v>6660</v>
      </c>
      <c r="R572" t="s">
        <v>1146</v>
      </c>
      <c r="S572" t="s">
        <v>1145</v>
      </c>
    </row>
    <row r="573" spans="1:19" x14ac:dyDescent="0.2">
      <c r="A573" t="s">
        <v>1144</v>
      </c>
      <c r="B573" t="s">
        <v>1143</v>
      </c>
      <c r="C573">
        <v>16</v>
      </c>
      <c r="D573" t="s">
        <v>111</v>
      </c>
      <c r="E573">
        <v>0</v>
      </c>
      <c r="F573" t="s">
        <v>1142</v>
      </c>
      <c r="G573" t="s">
        <v>109</v>
      </c>
      <c r="H573" t="s">
        <v>108</v>
      </c>
      <c r="M573">
        <v>700</v>
      </c>
      <c r="N573" t="s">
        <v>1049</v>
      </c>
      <c r="O573" t="s">
        <v>1141</v>
      </c>
      <c r="P573">
        <v>18196</v>
      </c>
      <c r="Q573">
        <v>83595</v>
      </c>
      <c r="R573" t="s">
        <v>1140</v>
      </c>
      <c r="S573" t="s">
        <v>1139</v>
      </c>
    </row>
    <row r="574" spans="1:19" x14ac:dyDescent="0.2">
      <c r="A574" t="s">
        <v>1138</v>
      </c>
      <c r="B574" t="s">
        <v>1137</v>
      </c>
      <c r="C574">
        <v>16</v>
      </c>
      <c r="D574" t="s">
        <v>111</v>
      </c>
      <c r="E574">
        <v>0</v>
      </c>
      <c r="F574" t="s">
        <v>1136</v>
      </c>
      <c r="G574" t="s">
        <v>109</v>
      </c>
      <c r="H574" t="s">
        <v>108</v>
      </c>
      <c r="M574">
        <v>4026</v>
      </c>
      <c r="N574" t="s">
        <v>1049</v>
      </c>
      <c r="O574" t="s">
        <v>1128</v>
      </c>
      <c r="P574">
        <v>11203</v>
      </c>
      <c r="Q574">
        <v>30812</v>
      </c>
      <c r="R574" t="s">
        <v>1135</v>
      </c>
      <c r="S574" t="s">
        <v>1134</v>
      </c>
    </row>
    <row r="575" spans="1:19" x14ac:dyDescent="0.2">
      <c r="A575" t="s">
        <v>1133</v>
      </c>
      <c r="B575" t="s">
        <v>1130</v>
      </c>
      <c r="C575">
        <v>16</v>
      </c>
      <c r="D575" t="s">
        <v>388</v>
      </c>
      <c r="E575">
        <v>0</v>
      </c>
      <c r="F575" t="s">
        <v>1132</v>
      </c>
      <c r="G575" t="s">
        <v>118</v>
      </c>
      <c r="H575" t="s">
        <v>117</v>
      </c>
      <c r="I575">
        <v>0.71811835875757701</v>
      </c>
      <c r="J575">
        <v>0.981473816259399</v>
      </c>
      <c r="K575">
        <v>6</v>
      </c>
      <c r="L575">
        <v>25</v>
      </c>
      <c r="M575">
        <v>500</v>
      </c>
      <c r="N575" t="s">
        <v>1049</v>
      </c>
      <c r="O575" t="s">
        <v>1128</v>
      </c>
      <c r="P575">
        <v>11204</v>
      </c>
      <c r="Q575">
        <v>6662</v>
      </c>
      <c r="R575" t="s">
        <v>1127</v>
      </c>
      <c r="S575" t="s">
        <v>1126</v>
      </c>
    </row>
    <row r="576" spans="1:19" x14ac:dyDescent="0.2">
      <c r="A576" t="s">
        <v>1131</v>
      </c>
      <c r="B576" t="s">
        <v>1130</v>
      </c>
      <c r="C576">
        <v>9</v>
      </c>
      <c r="D576" t="s">
        <v>388</v>
      </c>
      <c r="E576">
        <v>1</v>
      </c>
      <c r="F576" t="s">
        <v>1129</v>
      </c>
      <c r="G576" t="s">
        <v>118</v>
      </c>
      <c r="H576" t="s">
        <v>117</v>
      </c>
      <c r="I576">
        <v>0.77723932940090701</v>
      </c>
      <c r="J576">
        <v>0.89217951006498597</v>
      </c>
      <c r="K576">
        <v>6</v>
      </c>
      <c r="L576">
        <v>25</v>
      </c>
      <c r="M576">
        <v>501</v>
      </c>
      <c r="N576" t="s">
        <v>1049</v>
      </c>
      <c r="O576" t="s">
        <v>1128</v>
      </c>
      <c r="P576">
        <v>11204</v>
      </c>
      <c r="Q576">
        <v>6662</v>
      </c>
      <c r="R576" t="s">
        <v>1127</v>
      </c>
      <c r="S576" t="s">
        <v>1126</v>
      </c>
    </row>
    <row r="577" spans="1:19" x14ac:dyDescent="0.2">
      <c r="A577" t="s">
        <v>1125</v>
      </c>
      <c r="B577" t="s">
        <v>1122</v>
      </c>
      <c r="C577">
        <v>22</v>
      </c>
      <c r="D577" t="s">
        <v>363</v>
      </c>
      <c r="E577">
        <v>0</v>
      </c>
      <c r="F577" t="s">
        <v>1124</v>
      </c>
      <c r="G577" t="s">
        <v>118</v>
      </c>
      <c r="H577" t="s">
        <v>117</v>
      </c>
      <c r="I577">
        <v>0.99973798274773096</v>
      </c>
      <c r="J577">
        <v>0.95687862413142399</v>
      </c>
      <c r="K577">
        <v>53</v>
      </c>
      <c r="L577">
        <v>11</v>
      </c>
      <c r="M577">
        <v>499</v>
      </c>
      <c r="N577" t="s">
        <v>1101</v>
      </c>
      <c r="O577" t="s">
        <v>1100</v>
      </c>
      <c r="P577">
        <v>11205</v>
      </c>
      <c r="Q577">
        <v>6667</v>
      </c>
      <c r="R577" t="s">
        <v>1120</v>
      </c>
      <c r="S577" t="s">
        <v>1119</v>
      </c>
    </row>
    <row r="578" spans="1:19" x14ac:dyDescent="0.2">
      <c r="A578" t="s">
        <v>1123</v>
      </c>
      <c r="B578" t="s">
        <v>1122</v>
      </c>
      <c r="C578">
        <v>14</v>
      </c>
      <c r="D578" t="s">
        <v>363</v>
      </c>
      <c r="E578">
        <v>1</v>
      </c>
      <c r="F578" t="s">
        <v>1121</v>
      </c>
      <c r="G578" t="s">
        <v>118</v>
      </c>
      <c r="H578" t="s">
        <v>117</v>
      </c>
      <c r="I578">
        <v>0.99889152563204997</v>
      </c>
      <c r="J578">
        <v>0.94141896662272695</v>
      </c>
      <c r="K578">
        <v>53</v>
      </c>
      <c r="L578">
        <v>11</v>
      </c>
      <c r="M578">
        <v>432</v>
      </c>
      <c r="N578" t="s">
        <v>1101</v>
      </c>
      <c r="O578" t="s">
        <v>1100</v>
      </c>
      <c r="P578">
        <v>11205</v>
      </c>
      <c r="Q578">
        <v>6667</v>
      </c>
      <c r="R578" t="s">
        <v>1120</v>
      </c>
      <c r="S578" t="s">
        <v>1119</v>
      </c>
    </row>
    <row r="579" spans="1:19" x14ac:dyDescent="0.2">
      <c r="A579" t="s">
        <v>1118</v>
      </c>
      <c r="B579" t="s">
        <v>1115</v>
      </c>
      <c r="C579">
        <v>22</v>
      </c>
      <c r="D579" t="s">
        <v>363</v>
      </c>
      <c r="E579">
        <v>0</v>
      </c>
      <c r="F579" t="s">
        <v>1117</v>
      </c>
      <c r="G579" t="s">
        <v>109</v>
      </c>
      <c r="H579" t="s">
        <v>117</v>
      </c>
      <c r="I579">
        <v>0.97199002100958098</v>
      </c>
      <c r="K579">
        <v>16</v>
      </c>
      <c r="M579">
        <v>499</v>
      </c>
      <c r="N579" t="s">
        <v>1101</v>
      </c>
      <c r="O579" t="s">
        <v>1100</v>
      </c>
      <c r="P579">
        <v>11207</v>
      </c>
      <c r="Q579">
        <v>6668</v>
      </c>
      <c r="R579" t="s">
        <v>1113</v>
      </c>
      <c r="S579" t="s">
        <v>1112</v>
      </c>
    </row>
    <row r="580" spans="1:19" x14ac:dyDescent="0.2">
      <c r="A580" t="s">
        <v>1116</v>
      </c>
      <c r="B580" t="s">
        <v>1115</v>
      </c>
      <c r="C580">
        <v>12</v>
      </c>
      <c r="D580" t="s">
        <v>388</v>
      </c>
      <c r="E580">
        <v>1</v>
      </c>
      <c r="F580" t="s">
        <v>1114</v>
      </c>
      <c r="G580" t="s">
        <v>118</v>
      </c>
      <c r="H580" t="s">
        <v>117</v>
      </c>
      <c r="I580">
        <v>0.893268425231181</v>
      </c>
      <c r="K580">
        <v>16</v>
      </c>
      <c r="M580">
        <v>498</v>
      </c>
      <c r="N580" t="s">
        <v>1101</v>
      </c>
      <c r="O580" t="s">
        <v>1100</v>
      </c>
      <c r="P580">
        <v>11207</v>
      </c>
      <c r="Q580">
        <v>6668</v>
      </c>
      <c r="R580" t="s">
        <v>1113</v>
      </c>
      <c r="S580" t="s">
        <v>1112</v>
      </c>
    </row>
    <row r="581" spans="1:19" x14ac:dyDescent="0.2">
      <c r="A581" t="s">
        <v>1111</v>
      </c>
      <c r="B581" t="s">
        <v>1110</v>
      </c>
      <c r="C581">
        <v>20</v>
      </c>
      <c r="D581" t="s">
        <v>388</v>
      </c>
      <c r="E581">
        <v>0</v>
      </c>
      <c r="F581" t="s">
        <v>1109</v>
      </c>
      <c r="G581" t="s">
        <v>229</v>
      </c>
      <c r="H581" t="s">
        <v>228</v>
      </c>
      <c r="M581">
        <v>415</v>
      </c>
      <c r="N581" t="s">
        <v>1101</v>
      </c>
      <c r="O581" t="s">
        <v>1100</v>
      </c>
      <c r="P581">
        <v>11208</v>
      </c>
      <c r="Q581">
        <v>6670</v>
      </c>
      <c r="R581" t="s">
        <v>1108</v>
      </c>
      <c r="S581" t="s">
        <v>1107</v>
      </c>
    </row>
    <row r="582" spans="1:19" x14ac:dyDescent="0.2">
      <c r="A582" t="s">
        <v>1106</v>
      </c>
      <c r="B582" t="s">
        <v>1103</v>
      </c>
      <c r="C582">
        <v>20</v>
      </c>
      <c r="D582" t="s">
        <v>363</v>
      </c>
      <c r="E582">
        <v>0</v>
      </c>
      <c r="F582" t="s">
        <v>1105</v>
      </c>
      <c r="G582" t="s">
        <v>118</v>
      </c>
      <c r="H582" t="s">
        <v>117</v>
      </c>
      <c r="I582">
        <v>0.98348548251109702</v>
      </c>
      <c r="K582">
        <v>5</v>
      </c>
      <c r="M582">
        <v>499</v>
      </c>
      <c r="N582" t="s">
        <v>1101</v>
      </c>
      <c r="O582" t="s">
        <v>1100</v>
      </c>
      <c r="P582">
        <v>11209</v>
      </c>
      <c r="Q582">
        <v>6671</v>
      </c>
      <c r="R582" t="s">
        <v>1099</v>
      </c>
      <c r="S582" t="s">
        <v>1098</v>
      </c>
    </row>
    <row r="583" spans="1:19" x14ac:dyDescent="0.2">
      <c r="A583" t="s">
        <v>1104</v>
      </c>
      <c r="B583" t="s">
        <v>1103</v>
      </c>
      <c r="C583">
        <v>16</v>
      </c>
      <c r="D583" t="s">
        <v>363</v>
      </c>
      <c r="E583">
        <v>1</v>
      </c>
      <c r="F583" t="s">
        <v>1102</v>
      </c>
      <c r="G583" t="s">
        <v>118</v>
      </c>
      <c r="H583" t="s">
        <v>117</v>
      </c>
      <c r="I583">
        <v>0.98265026475050399</v>
      </c>
      <c r="K583">
        <v>5</v>
      </c>
      <c r="M583">
        <v>496</v>
      </c>
      <c r="N583" t="s">
        <v>1101</v>
      </c>
      <c r="O583" t="s">
        <v>1100</v>
      </c>
      <c r="P583">
        <v>11209</v>
      </c>
      <c r="Q583">
        <v>6671</v>
      </c>
      <c r="R583" t="s">
        <v>1099</v>
      </c>
      <c r="S583" t="s">
        <v>1098</v>
      </c>
    </row>
    <row r="584" spans="1:19" x14ac:dyDescent="0.2">
      <c r="A584" t="s">
        <v>1097</v>
      </c>
      <c r="B584" t="s">
        <v>1096</v>
      </c>
      <c r="C584">
        <v>14</v>
      </c>
      <c r="D584" t="s">
        <v>111</v>
      </c>
      <c r="E584">
        <v>0</v>
      </c>
      <c r="F584" t="s">
        <v>1095</v>
      </c>
      <c r="G584" t="s">
        <v>109</v>
      </c>
      <c r="H584" t="s">
        <v>108</v>
      </c>
      <c r="M584">
        <v>1928</v>
      </c>
      <c r="N584" t="s">
        <v>1078</v>
      </c>
      <c r="O584" t="s">
        <v>1094</v>
      </c>
      <c r="P584">
        <v>17257</v>
      </c>
      <c r="Q584">
        <v>25803</v>
      </c>
      <c r="R584" t="s">
        <v>1093</v>
      </c>
      <c r="S584" t="s">
        <v>1092</v>
      </c>
    </row>
    <row r="585" spans="1:19" x14ac:dyDescent="0.2">
      <c r="A585" t="s">
        <v>1091</v>
      </c>
      <c r="B585" t="s">
        <v>1090</v>
      </c>
      <c r="C585">
        <v>17</v>
      </c>
      <c r="D585" t="s">
        <v>363</v>
      </c>
      <c r="E585">
        <v>0</v>
      </c>
      <c r="F585" t="s">
        <v>1089</v>
      </c>
      <c r="G585" t="s">
        <v>118</v>
      </c>
      <c r="H585" t="s">
        <v>117</v>
      </c>
      <c r="I585">
        <v>0.99878959654896404</v>
      </c>
      <c r="J585">
        <v>0.996886185134224</v>
      </c>
      <c r="K585">
        <v>80</v>
      </c>
      <c r="L585">
        <v>204</v>
      </c>
      <c r="M585">
        <v>500</v>
      </c>
      <c r="N585" t="s">
        <v>1078</v>
      </c>
      <c r="O585" t="s">
        <v>1077</v>
      </c>
      <c r="P585">
        <v>11241</v>
      </c>
      <c r="Q585">
        <v>6688</v>
      </c>
      <c r="R585" t="s">
        <v>1088</v>
      </c>
      <c r="S585" t="s">
        <v>1087</v>
      </c>
    </row>
    <row r="586" spans="1:19" x14ac:dyDescent="0.2">
      <c r="A586" t="s">
        <v>1086</v>
      </c>
      <c r="B586" t="s">
        <v>1085</v>
      </c>
      <c r="C586">
        <v>17</v>
      </c>
      <c r="D586" t="s">
        <v>363</v>
      </c>
      <c r="E586">
        <v>0</v>
      </c>
      <c r="F586" t="s">
        <v>1084</v>
      </c>
      <c r="G586" t="s">
        <v>118</v>
      </c>
      <c r="H586" t="s">
        <v>117</v>
      </c>
      <c r="I586">
        <v>0.99791465013979996</v>
      </c>
      <c r="J586">
        <v>0.94892633830559003</v>
      </c>
      <c r="K586">
        <v>12</v>
      </c>
      <c r="L586">
        <v>3</v>
      </c>
      <c r="M586">
        <v>500</v>
      </c>
      <c r="N586" t="s">
        <v>1078</v>
      </c>
      <c r="O586" t="s">
        <v>1077</v>
      </c>
      <c r="P586">
        <v>11242</v>
      </c>
      <c r="Q586">
        <v>6689</v>
      </c>
      <c r="R586" t="s">
        <v>1083</v>
      </c>
      <c r="S586" t="s">
        <v>1082</v>
      </c>
    </row>
    <row r="587" spans="1:19" x14ac:dyDescent="0.2">
      <c r="A587" t="s">
        <v>1081</v>
      </c>
      <c r="B587" t="s">
        <v>1080</v>
      </c>
      <c r="C587">
        <v>13</v>
      </c>
      <c r="D587" t="s">
        <v>111</v>
      </c>
      <c r="E587">
        <v>0</v>
      </c>
      <c r="F587" t="s">
        <v>1079</v>
      </c>
      <c r="G587" t="s">
        <v>109</v>
      </c>
      <c r="H587" t="s">
        <v>108</v>
      </c>
      <c r="M587">
        <v>263</v>
      </c>
      <c r="N587" t="s">
        <v>1078</v>
      </c>
      <c r="O587" t="s">
        <v>1077</v>
      </c>
      <c r="P587">
        <v>29549</v>
      </c>
      <c r="Q587">
        <v>121599</v>
      </c>
      <c r="R587" t="s">
        <v>1076</v>
      </c>
      <c r="S587" t="s">
        <v>1075</v>
      </c>
    </row>
    <row r="588" spans="1:19" x14ac:dyDescent="0.2">
      <c r="A588" t="s">
        <v>1074</v>
      </c>
      <c r="B588" t="s">
        <v>1073</v>
      </c>
      <c r="C588">
        <v>16</v>
      </c>
      <c r="D588" t="s">
        <v>111</v>
      </c>
      <c r="E588">
        <v>0</v>
      </c>
      <c r="F588" t="s">
        <v>1072</v>
      </c>
      <c r="G588" t="s">
        <v>229</v>
      </c>
      <c r="H588" t="s">
        <v>228</v>
      </c>
      <c r="M588">
        <v>11</v>
      </c>
      <c r="P588">
        <v>30721</v>
      </c>
      <c r="Q588">
        <v>84654</v>
      </c>
      <c r="R588" t="s">
        <v>1071</v>
      </c>
      <c r="S588" t="s">
        <v>1070</v>
      </c>
    </row>
    <row r="589" spans="1:19" x14ac:dyDescent="0.2">
      <c r="A589" t="s">
        <v>1069</v>
      </c>
      <c r="B589" t="s">
        <v>1068</v>
      </c>
      <c r="C589">
        <v>11</v>
      </c>
      <c r="D589" t="s">
        <v>363</v>
      </c>
      <c r="E589">
        <v>0</v>
      </c>
      <c r="F589" t="s">
        <v>1067</v>
      </c>
      <c r="G589" t="s">
        <v>118</v>
      </c>
      <c r="H589" t="s">
        <v>117</v>
      </c>
      <c r="I589">
        <v>0.92047688500304603</v>
      </c>
      <c r="J589">
        <v>0.66959292314329999</v>
      </c>
      <c r="K589">
        <v>5</v>
      </c>
      <c r="L589">
        <v>23</v>
      </c>
      <c r="M589">
        <v>500</v>
      </c>
      <c r="N589" t="s">
        <v>718</v>
      </c>
      <c r="O589" t="s">
        <v>1062</v>
      </c>
      <c r="P589">
        <v>11289</v>
      </c>
      <c r="Q589">
        <v>6720</v>
      </c>
      <c r="R589" t="s">
        <v>1066</v>
      </c>
      <c r="S589" t="s">
        <v>1065</v>
      </c>
    </row>
    <row r="590" spans="1:19" x14ac:dyDescent="0.2">
      <c r="A590" t="s">
        <v>1064</v>
      </c>
      <c r="B590" t="s">
        <v>85</v>
      </c>
      <c r="C590">
        <v>13</v>
      </c>
      <c r="D590" t="s">
        <v>388</v>
      </c>
      <c r="E590">
        <v>0</v>
      </c>
      <c r="F590" t="s">
        <v>1063</v>
      </c>
      <c r="G590" t="s">
        <v>229</v>
      </c>
      <c r="H590" t="s">
        <v>228</v>
      </c>
      <c r="M590">
        <v>2363</v>
      </c>
      <c r="N590" t="s">
        <v>718</v>
      </c>
      <c r="O590" t="s">
        <v>1062</v>
      </c>
      <c r="P590">
        <v>11290</v>
      </c>
      <c r="Q590">
        <v>6721</v>
      </c>
      <c r="R590" t="s">
        <v>1061</v>
      </c>
      <c r="S590" t="s">
        <v>1060</v>
      </c>
    </row>
    <row r="591" spans="1:19" x14ac:dyDescent="0.2">
      <c r="A591" t="s">
        <v>1059</v>
      </c>
      <c r="B591" t="s">
        <v>1058</v>
      </c>
      <c r="C591">
        <v>18</v>
      </c>
      <c r="D591" t="s">
        <v>363</v>
      </c>
      <c r="E591">
        <v>0</v>
      </c>
      <c r="F591" t="s">
        <v>1057</v>
      </c>
      <c r="G591" t="s">
        <v>118</v>
      </c>
      <c r="H591" t="s">
        <v>117</v>
      </c>
      <c r="I591">
        <v>0.95596233997575297</v>
      </c>
      <c r="J591">
        <v>0.97919249657190999</v>
      </c>
      <c r="K591">
        <v>46</v>
      </c>
      <c r="L591">
        <v>37</v>
      </c>
      <c r="M591">
        <v>131</v>
      </c>
      <c r="N591" t="s">
        <v>1056</v>
      </c>
      <c r="O591" t="s">
        <v>1055</v>
      </c>
      <c r="P591">
        <v>11291</v>
      </c>
      <c r="Q591">
        <v>6722</v>
      </c>
      <c r="R591" t="s">
        <v>1054</v>
      </c>
      <c r="S591" t="s">
        <v>1053</v>
      </c>
    </row>
    <row r="592" spans="1:19" x14ac:dyDescent="0.2">
      <c r="A592" t="s">
        <v>1052</v>
      </c>
      <c r="B592" t="s">
        <v>1051</v>
      </c>
      <c r="C592">
        <v>9</v>
      </c>
      <c r="D592" t="s">
        <v>388</v>
      </c>
      <c r="E592">
        <v>0</v>
      </c>
      <c r="F592" t="s">
        <v>1050</v>
      </c>
      <c r="G592" t="s">
        <v>229</v>
      </c>
      <c r="H592" t="s">
        <v>228</v>
      </c>
      <c r="M592">
        <v>108</v>
      </c>
      <c r="N592" t="s">
        <v>1049</v>
      </c>
      <c r="O592" t="s">
        <v>1048</v>
      </c>
      <c r="P592">
        <v>11311</v>
      </c>
      <c r="Q592">
        <v>6736</v>
      </c>
      <c r="R592" t="s">
        <v>1047</v>
      </c>
      <c r="S592" t="s">
        <v>1046</v>
      </c>
    </row>
    <row r="593" spans="1:19" x14ac:dyDescent="0.2">
      <c r="A593" t="s">
        <v>1045</v>
      </c>
      <c r="B593" t="s">
        <v>1044</v>
      </c>
      <c r="C593">
        <v>10</v>
      </c>
      <c r="D593" t="s">
        <v>363</v>
      </c>
      <c r="E593">
        <v>0</v>
      </c>
      <c r="F593" t="s">
        <v>1043</v>
      </c>
      <c r="G593" t="s">
        <v>118</v>
      </c>
      <c r="H593" t="s">
        <v>117</v>
      </c>
      <c r="I593">
        <v>0.93196275528984995</v>
      </c>
      <c r="J593">
        <v>0.99154411411829202</v>
      </c>
      <c r="K593">
        <v>24</v>
      </c>
      <c r="L593">
        <v>127</v>
      </c>
      <c r="M593">
        <v>500</v>
      </c>
      <c r="N593" t="s">
        <v>1004</v>
      </c>
      <c r="O593" t="s">
        <v>1042</v>
      </c>
      <c r="P593">
        <v>11366</v>
      </c>
      <c r="Q593">
        <v>6776</v>
      </c>
      <c r="R593" t="s">
        <v>1041</v>
      </c>
      <c r="S593" t="s">
        <v>1040</v>
      </c>
    </row>
    <row r="594" spans="1:19" x14ac:dyDescent="0.2">
      <c r="A594" t="s">
        <v>1039</v>
      </c>
      <c r="B594" t="s">
        <v>1038</v>
      </c>
      <c r="C594">
        <v>12</v>
      </c>
      <c r="D594" t="s">
        <v>363</v>
      </c>
      <c r="E594">
        <v>0</v>
      </c>
      <c r="F594" t="s">
        <v>1037</v>
      </c>
      <c r="G594" t="s">
        <v>118</v>
      </c>
      <c r="H594" t="s">
        <v>117</v>
      </c>
      <c r="I594">
        <v>0.96500761773858801</v>
      </c>
      <c r="J594">
        <v>0.95702218602133204</v>
      </c>
      <c r="K594">
        <v>16</v>
      </c>
      <c r="L594">
        <v>31</v>
      </c>
      <c r="M594">
        <v>501</v>
      </c>
      <c r="N594" t="s">
        <v>1004</v>
      </c>
      <c r="O594" t="s">
        <v>1036</v>
      </c>
      <c r="P594">
        <v>11367</v>
      </c>
      <c r="Q594">
        <v>6777</v>
      </c>
      <c r="R594" t="s">
        <v>1035</v>
      </c>
      <c r="S594" t="s">
        <v>1034</v>
      </c>
    </row>
    <row r="595" spans="1:19" x14ac:dyDescent="0.2">
      <c r="A595" t="s">
        <v>1033</v>
      </c>
      <c r="B595" t="s">
        <v>1030</v>
      </c>
      <c r="C595">
        <v>19</v>
      </c>
      <c r="D595" t="s">
        <v>363</v>
      </c>
      <c r="E595">
        <v>0</v>
      </c>
      <c r="F595" t="s">
        <v>1032</v>
      </c>
      <c r="G595" t="s">
        <v>118</v>
      </c>
      <c r="H595" t="s">
        <v>117</v>
      </c>
      <c r="I595">
        <v>0.98674064758550295</v>
      </c>
      <c r="J595">
        <v>0.91029275740718996</v>
      </c>
      <c r="K595">
        <v>37</v>
      </c>
      <c r="L595">
        <v>128</v>
      </c>
      <c r="M595">
        <v>500</v>
      </c>
      <c r="N595" t="s">
        <v>1004</v>
      </c>
      <c r="O595" t="s">
        <v>1028</v>
      </c>
      <c r="P595">
        <v>11362</v>
      </c>
      <c r="Q595">
        <v>6772</v>
      </c>
      <c r="R595" t="s">
        <v>1027</v>
      </c>
      <c r="S595" t="s">
        <v>1026</v>
      </c>
    </row>
    <row r="596" spans="1:19" x14ac:dyDescent="0.2">
      <c r="A596" t="s">
        <v>1031</v>
      </c>
      <c r="B596" t="s">
        <v>1030</v>
      </c>
      <c r="C596">
        <v>19</v>
      </c>
      <c r="D596" t="s">
        <v>363</v>
      </c>
      <c r="E596">
        <v>1</v>
      </c>
      <c r="F596" t="s">
        <v>1029</v>
      </c>
      <c r="G596" t="s">
        <v>118</v>
      </c>
      <c r="H596" t="s">
        <v>117</v>
      </c>
      <c r="I596">
        <v>0.99249554526823003</v>
      </c>
      <c r="J596">
        <v>0.96208327869694699</v>
      </c>
      <c r="K596">
        <v>37</v>
      </c>
      <c r="L596">
        <v>128</v>
      </c>
      <c r="M596">
        <v>500</v>
      </c>
      <c r="N596" t="s">
        <v>1004</v>
      </c>
      <c r="O596" t="s">
        <v>1028</v>
      </c>
      <c r="P596">
        <v>11362</v>
      </c>
      <c r="Q596">
        <v>6772</v>
      </c>
      <c r="R596" t="s">
        <v>1027</v>
      </c>
      <c r="S596" t="s">
        <v>1026</v>
      </c>
    </row>
    <row r="597" spans="1:19" x14ac:dyDescent="0.2">
      <c r="A597" t="s">
        <v>1025</v>
      </c>
      <c r="B597" t="s">
        <v>1024</v>
      </c>
      <c r="C597">
        <v>19</v>
      </c>
      <c r="D597" t="s">
        <v>363</v>
      </c>
      <c r="E597">
        <v>0</v>
      </c>
      <c r="F597" t="s">
        <v>1023</v>
      </c>
      <c r="G597" t="s">
        <v>118</v>
      </c>
      <c r="H597" t="s">
        <v>117</v>
      </c>
      <c r="I597">
        <v>0.97964097359035596</v>
      </c>
      <c r="J597">
        <v>0.99418938033356996</v>
      </c>
      <c r="K597">
        <v>11</v>
      </c>
      <c r="L597">
        <v>8</v>
      </c>
      <c r="M597">
        <v>500</v>
      </c>
      <c r="N597" t="s">
        <v>1004</v>
      </c>
      <c r="O597" t="s">
        <v>1022</v>
      </c>
      <c r="P597">
        <v>11363</v>
      </c>
      <c r="Q597">
        <v>6773</v>
      </c>
      <c r="R597" t="s">
        <v>1021</v>
      </c>
      <c r="S597" t="s">
        <v>1020</v>
      </c>
    </row>
    <row r="598" spans="1:19" x14ac:dyDescent="0.2">
      <c r="A598" t="s">
        <v>1019</v>
      </c>
      <c r="B598" t="s">
        <v>1018</v>
      </c>
      <c r="C598">
        <v>12</v>
      </c>
      <c r="D598" t="s">
        <v>363</v>
      </c>
      <c r="E598">
        <v>0</v>
      </c>
      <c r="F598" t="s">
        <v>1017</v>
      </c>
      <c r="G598" t="s">
        <v>118</v>
      </c>
      <c r="H598" t="s">
        <v>117</v>
      </c>
      <c r="I598">
        <v>0.95266664856225702</v>
      </c>
      <c r="J598">
        <v>0.94912351931689998</v>
      </c>
      <c r="K598">
        <v>36</v>
      </c>
      <c r="L598">
        <v>82</v>
      </c>
      <c r="M598">
        <v>500</v>
      </c>
      <c r="N598" t="s">
        <v>1004</v>
      </c>
      <c r="O598" t="s">
        <v>1016</v>
      </c>
      <c r="P598">
        <v>11364</v>
      </c>
      <c r="Q598">
        <v>6774</v>
      </c>
      <c r="R598" t="s">
        <v>1015</v>
      </c>
      <c r="S598" t="s">
        <v>1014</v>
      </c>
    </row>
    <row r="599" spans="1:19" x14ac:dyDescent="0.2">
      <c r="A599" t="s">
        <v>1013</v>
      </c>
      <c r="B599" t="s">
        <v>1012</v>
      </c>
      <c r="C599">
        <v>11</v>
      </c>
      <c r="D599" t="s">
        <v>363</v>
      </c>
      <c r="E599">
        <v>0</v>
      </c>
      <c r="F599" t="s">
        <v>1011</v>
      </c>
      <c r="G599" t="s">
        <v>118</v>
      </c>
      <c r="H599" t="s">
        <v>117</v>
      </c>
      <c r="I599">
        <v>0.93457709325282101</v>
      </c>
      <c r="J599">
        <v>0.88701000591293799</v>
      </c>
      <c r="K599">
        <v>7</v>
      </c>
      <c r="L599">
        <v>10</v>
      </c>
      <c r="M599">
        <v>500</v>
      </c>
      <c r="N599" t="s">
        <v>1004</v>
      </c>
      <c r="O599" t="s">
        <v>1010</v>
      </c>
      <c r="P599">
        <v>11365</v>
      </c>
      <c r="Q599">
        <v>6775</v>
      </c>
      <c r="R599" t="s">
        <v>1009</v>
      </c>
      <c r="S599" t="s">
        <v>1008</v>
      </c>
    </row>
    <row r="600" spans="1:19" x14ac:dyDescent="0.2">
      <c r="A600" t="s">
        <v>1007</v>
      </c>
      <c r="B600" t="s">
        <v>1006</v>
      </c>
      <c r="C600">
        <v>11</v>
      </c>
      <c r="D600" t="s">
        <v>388</v>
      </c>
      <c r="E600">
        <v>0</v>
      </c>
      <c r="F600" t="s">
        <v>1005</v>
      </c>
      <c r="G600" t="s">
        <v>118</v>
      </c>
      <c r="H600" t="s">
        <v>117</v>
      </c>
      <c r="I600">
        <v>0.76553986475528202</v>
      </c>
      <c r="J600">
        <v>0.91155089318048399</v>
      </c>
      <c r="K600">
        <v>19</v>
      </c>
      <c r="L600">
        <v>24</v>
      </c>
      <c r="M600">
        <v>502</v>
      </c>
      <c r="N600" t="s">
        <v>1004</v>
      </c>
      <c r="O600" t="s">
        <v>1003</v>
      </c>
      <c r="P600">
        <v>11368</v>
      </c>
      <c r="Q600">
        <v>6778</v>
      </c>
      <c r="R600" t="s">
        <v>1002</v>
      </c>
      <c r="S600" t="s">
        <v>1001</v>
      </c>
    </row>
    <row r="601" spans="1:19" x14ac:dyDescent="0.2">
      <c r="A601" t="s">
        <v>1000</v>
      </c>
      <c r="B601" t="s">
        <v>999</v>
      </c>
      <c r="C601">
        <v>11</v>
      </c>
      <c r="D601" t="s">
        <v>388</v>
      </c>
      <c r="E601">
        <v>0</v>
      </c>
      <c r="F601" t="s">
        <v>998</v>
      </c>
      <c r="G601" t="s">
        <v>118</v>
      </c>
      <c r="H601" t="s">
        <v>117</v>
      </c>
      <c r="I601">
        <v>0.75852338787459495</v>
      </c>
      <c r="J601">
        <v>0.897759766857539</v>
      </c>
      <c r="K601">
        <v>1</v>
      </c>
      <c r="L601">
        <v>2</v>
      </c>
      <c r="M601">
        <v>500</v>
      </c>
      <c r="N601" t="s">
        <v>997</v>
      </c>
      <c r="O601" t="s">
        <v>996</v>
      </c>
      <c r="P601">
        <v>7983</v>
      </c>
      <c r="Q601">
        <v>2516</v>
      </c>
      <c r="R601" t="s">
        <v>995</v>
      </c>
      <c r="S601" t="s">
        <v>994</v>
      </c>
    </row>
    <row r="602" spans="1:19" x14ac:dyDescent="0.2">
      <c r="A602" t="s">
        <v>993</v>
      </c>
      <c r="B602" t="s">
        <v>36</v>
      </c>
      <c r="C602">
        <v>11</v>
      </c>
      <c r="D602" t="s">
        <v>363</v>
      </c>
      <c r="E602">
        <v>0</v>
      </c>
      <c r="F602" t="s">
        <v>992</v>
      </c>
      <c r="G602" t="s">
        <v>118</v>
      </c>
      <c r="H602" t="s">
        <v>117</v>
      </c>
      <c r="I602">
        <v>0.92525931534599604</v>
      </c>
      <c r="J602">
        <v>0.97343324849397295</v>
      </c>
      <c r="K602">
        <v>25</v>
      </c>
      <c r="L602">
        <v>6</v>
      </c>
      <c r="M602">
        <v>500</v>
      </c>
      <c r="N602" t="s">
        <v>991</v>
      </c>
      <c r="O602" t="s">
        <v>990</v>
      </c>
      <c r="P602">
        <v>5724</v>
      </c>
      <c r="Q602">
        <v>3516</v>
      </c>
      <c r="R602" t="s">
        <v>989</v>
      </c>
      <c r="S602" t="s">
        <v>988</v>
      </c>
    </row>
    <row r="603" spans="1:19" x14ac:dyDescent="0.2">
      <c r="A603" t="s">
        <v>987</v>
      </c>
      <c r="B603" t="s">
        <v>986</v>
      </c>
      <c r="C603">
        <v>16</v>
      </c>
      <c r="D603" t="s">
        <v>363</v>
      </c>
      <c r="E603">
        <v>0</v>
      </c>
      <c r="F603" t="s">
        <v>985</v>
      </c>
      <c r="G603" t="s">
        <v>118</v>
      </c>
      <c r="H603" t="s">
        <v>117</v>
      </c>
      <c r="I603">
        <v>0.89395197735931098</v>
      </c>
      <c r="J603">
        <v>0.91044629724616499</v>
      </c>
      <c r="K603">
        <v>61</v>
      </c>
      <c r="L603">
        <v>2</v>
      </c>
      <c r="M603">
        <v>500</v>
      </c>
      <c r="N603" t="s">
        <v>845</v>
      </c>
      <c r="O603" t="s">
        <v>984</v>
      </c>
      <c r="P603">
        <v>11535</v>
      </c>
      <c r="Q603">
        <v>6872</v>
      </c>
      <c r="R603" t="s">
        <v>983</v>
      </c>
      <c r="S603" t="s">
        <v>982</v>
      </c>
    </row>
    <row r="604" spans="1:19" x14ac:dyDescent="0.2">
      <c r="A604" t="s">
        <v>981</v>
      </c>
      <c r="B604" t="s">
        <v>978</v>
      </c>
      <c r="C604">
        <v>19</v>
      </c>
      <c r="D604" t="s">
        <v>363</v>
      </c>
      <c r="E604">
        <v>0</v>
      </c>
      <c r="F604" t="s">
        <v>980</v>
      </c>
      <c r="G604" t="s">
        <v>118</v>
      </c>
      <c r="H604" t="s">
        <v>117</v>
      </c>
      <c r="I604">
        <v>0.97797821759427095</v>
      </c>
      <c r="J604">
        <v>0.96753257963936701</v>
      </c>
      <c r="K604">
        <v>68</v>
      </c>
      <c r="L604">
        <v>76</v>
      </c>
      <c r="M604">
        <v>500</v>
      </c>
      <c r="N604" t="s">
        <v>753</v>
      </c>
      <c r="O604" t="s">
        <v>976</v>
      </c>
      <c r="P604">
        <v>11556</v>
      </c>
      <c r="Q604">
        <v>6886</v>
      </c>
      <c r="R604" t="s">
        <v>975</v>
      </c>
      <c r="S604" t="s">
        <v>974</v>
      </c>
    </row>
    <row r="605" spans="1:19" x14ac:dyDescent="0.2">
      <c r="A605" t="s">
        <v>979</v>
      </c>
      <c r="B605" t="s">
        <v>978</v>
      </c>
      <c r="C605">
        <v>15</v>
      </c>
      <c r="D605" t="s">
        <v>363</v>
      </c>
      <c r="E605">
        <v>1</v>
      </c>
      <c r="F605" t="s">
        <v>977</v>
      </c>
      <c r="G605" t="s">
        <v>118</v>
      </c>
      <c r="H605" t="s">
        <v>117</v>
      </c>
      <c r="I605">
        <v>0.82795637644116205</v>
      </c>
      <c r="J605">
        <v>0.72988007083837003</v>
      </c>
      <c r="K605">
        <v>68</v>
      </c>
      <c r="L605">
        <v>76</v>
      </c>
      <c r="M605">
        <v>500</v>
      </c>
      <c r="N605" t="s">
        <v>753</v>
      </c>
      <c r="O605" t="s">
        <v>976</v>
      </c>
      <c r="P605">
        <v>11556</v>
      </c>
      <c r="Q605">
        <v>6886</v>
      </c>
      <c r="R605" t="s">
        <v>975</v>
      </c>
      <c r="S605" t="s">
        <v>974</v>
      </c>
    </row>
    <row r="606" spans="1:19" x14ac:dyDescent="0.2">
      <c r="A606" t="s">
        <v>973</v>
      </c>
      <c r="B606" t="s">
        <v>972</v>
      </c>
      <c r="C606">
        <v>10</v>
      </c>
      <c r="D606" t="s">
        <v>363</v>
      </c>
      <c r="E606">
        <v>0</v>
      </c>
      <c r="F606" t="s">
        <v>971</v>
      </c>
      <c r="G606" t="s">
        <v>118</v>
      </c>
      <c r="H606" t="s">
        <v>117</v>
      </c>
      <c r="I606">
        <v>0.86772532224062104</v>
      </c>
      <c r="J606">
        <v>0.79757922174892304</v>
      </c>
      <c r="K606">
        <v>21</v>
      </c>
      <c r="L606">
        <v>45</v>
      </c>
      <c r="M606">
        <v>149</v>
      </c>
      <c r="N606" t="s">
        <v>970</v>
      </c>
      <c r="O606" t="s">
        <v>969</v>
      </c>
      <c r="P606">
        <v>11588</v>
      </c>
      <c r="Q606">
        <v>6908</v>
      </c>
      <c r="R606" t="s">
        <v>968</v>
      </c>
      <c r="S606" t="s">
        <v>967</v>
      </c>
    </row>
    <row r="607" spans="1:19" x14ac:dyDescent="0.2">
      <c r="A607" t="s">
        <v>966</v>
      </c>
      <c r="B607" t="s">
        <v>965</v>
      </c>
      <c r="C607">
        <v>13</v>
      </c>
      <c r="D607" t="s">
        <v>111</v>
      </c>
      <c r="E607">
        <v>0</v>
      </c>
      <c r="F607" t="s">
        <v>964</v>
      </c>
      <c r="G607" t="s">
        <v>109</v>
      </c>
      <c r="H607" t="s">
        <v>108</v>
      </c>
      <c r="M607">
        <v>16871</v>
      </c>
      <c r="N607" t="s">
        <v>931</v>
      </c>
      <c r="O607" t="s">
        <v>963</v>
      </c>
      <c r="P607">
        <v>11590</v>
      </c>
      <c r="Q607">
        <v>10716</v>
      </c>
      <c r="R607" t="s">
        <v>962</v>
      </c>
      <c r="S607" t="s">
        <v>961</v>
      </c>
    </row>
    <row r="608" spans="1:19" x14ac:dyDescent="0.2">
      <c r="A608" t="s">
        <v>960</v>
      </c>
      <c r="B608" t="s">
        <v>959</v>
      </c>
      <c r="C608">
        <v>19</v>
      </c>
      <c r="D608" t="s">
        <v>111</v>
      </c>
      <c r="E608">
        <v>0</v>
      </c>
      <c r="F608" t="s">
        <v>958</v>
      </c>
      <c r="G608" t="s">
        <v>109</v>
      </c>
      <c r="H608" t="s">
        <v>108</v>
      </c>
      <c r="M608">
        <v>6956</v>
      </c>
      <c r="N608" t="s">
        <v>938</v>
      </c>
      <c r="O608" t="s">
        <v>957</v>
      </c>
      <c r="P608">
        <v>11594</v>
      </c>
      <c r="Q608">
        <v>6913</v>
      </c>
      <c r="R608" t="s">
        <v>956</v>
      </c>
      <c r="S608" t="s">
        <v>955</v>
      </c>
    </row>
    <row r="609" spans="1:19" x14ac:dyDescent="0.2">
      <c r="A609" t="s">
        <v>954</v>
      </c>
      <c r="B609" t="s">
        <v>953</v>
      </c>
      <c r="C609">
        <v>22</v>
      </c>
      <c r="D609" t="s">
        <v>111</v>
      </c>
      <c r="E609">
        <v>0</v>
      </c>
      <c r="F609" t="s">
        <v>952</v>
      </c>
      <c r="G609" t="s">
        <v>109</v>
      </c>
      <c r="H609" t="s">
        <v>108</v>
      </c>
      <c r="M609">
        <v>16587</v>
      </c>
      <c r="N609" t="s">
        <v>951</v>
      </c>
      <c r="O609" t="s">
        <v>950</v>
      </c>
      <c r="P609">
        <v>11596</v>
      </c>
      <c r="Q609">
        <v>9095</v>
      </c>
      <c r="R609" t="s">
        <v>949</v>
      </c>
      <c r="S609" t="s">
        <v>948</v>
      </c>
    </row>
    <row r="610" spans="1:19" x14ac:dyDescent="0.2">
      <c r="A610" t="s">
        <v>947</v>
      </c>
      <c r="B610" t="s">
        <v>946</v>
      </c>
      <c r="C610">
        <v>20</v>
      </c>
      <c r="D610" t="s">
        <v>111</v>
      </c>
      <c r="E610">
        <v>0</v>
      </c>
      <c r="F610" t="s">
        <v>945</v>
      </c>
      <c r="G610" t="s">
        <v>109</v>
      </c>
      <c r="H610" t="s">
        <v>108</v>
      </c>
      <c r="M610">
        <v>4716</v>
      </c>
      <c r="N610" t="s">
        <v>938</v>
      </c>
      <c r="O610" t="s">
        <v>944</v>
      </c>
      <c r="P610">
        <v>11592</v>
      </c>
      <c r="Q610">
        <v>6899</v>
      </c>
      <c r="R610" t="s">
        <v>943</v>
      </c>
      <c r="S610" t="s">
        <v>942</v>
      </c>
    </row>
    <row r="611" spans="1:19" x14ac:dyDescent="0.2">
      <c r="A611" t="s">
        <v>941</v>
      </c>
      <c r="B611" t="s">
        <v>940</v>
      </c>
      <c r="C611">
        <v>14</v>
      </c>
      <c r="D611" t="s">
        <v>111</v>
      </c>
      <c r="E611">
        <v>0</v>
      </c>
      <c r="F611" t="s">
        <v>939</v>
      </c>
      <c r="G611" t="s">
        <v>118</v>
      </c>
      <c r="H611" t="s">
        <v>117</v>
      </c>
      <c r="J611">
        <v>0.88270296514562996</v>
      </c>
      <c r="L611">
        <v>4</v>
      </c>
      <c r="M611">
        <v>500</v>
      </c>
      <c r="N611" t="s">
        <v>938</v>
      </c>
      <c r="O611" t="s">
        <v>937</v>
      </c>
      <c r="P611">
        <v>11598</v>
      </c>
      <c r="Q611">
        <v>57057</v>
      </c>
      <c r="R611" t="s">
        <v>936</v>
      </c>
      <c r="S611" t="s">
        <v>935</v>
      </c>
    </row>
    <row r="612" spans="1:19" x14ac:dyDescent="0.2">
      <c r="A612" t="s">
        <v>934</v>
      </c>
      <c r="B612" t="s">
        <v>933</v>
      </c>
      <c r="C612">
        <v>13</v>
      </c>
      <c r="D612" t="s">
        <v>363</v>
      </c>
      <c r="E612">
        <v>0</v>
      </c>
      <c r="F612" t="s">
        <v>932</v>
      </c>
      <c r="G612" t="s">
        <v>118</v>
      </c>
      <c r="H612" t="s">
        <v>117</v>
      </c>
      <c r="I612">
        <v>0.82910421689771097</v>
      </c>
      <c r="J612">
        <v>0.831393636445381</v>
      </c>
      <c r="K612">
        <v>7</v>
      </c>
      <c r="L612">
        <v>17</v>
      </c>
      <c r="M612">
        <v>497</v>
      </c>
      <c r="N612" t="s">
        <v>931</v>
      </c>
      <c r="O612" t="s">
        <v>930</v>
      </c>
      <c r="P612">
        <v>11599</v>
      </c>
      <c r="Q612">
        <v>30009</v>
      </c>
      <c r="R612" t="s">
        <v>929</v>
      </c>
      <c r="S612" t="s">
        <v>928</v>
      </c>
    </row>
    <row r="613" spans="1:19" x14ac:dyDescent="0.2">
      <c r="A613" t="s">
        <v>927</v>
      </c>
      <c r="B613" t="s">
        <v>926</v>
      </c>
      <c r="C613">
        <v>25</v>
      </c>
      <c r="D613" t="s">
        <v>111</v>
      </c>
      <c r="E613">
        <v>0</v>
      </c>
      <c r="F613" t="s">
        <v>925</v>
      </c>
      <c r="G613" t="s">
        <v>229</v>
      </c>
      <c r="H613" t="s">
        <v>228</v>
      </c>
      <c r="M613">
        <v>9</v>
      </c>
      <c r="N613" t="s">
        <v>907</v>
      </c>
      <c r="O613" t="s">
        <v>924</v>
      </c>
      <c r="P613">
        <v>11597</v>
      </c>
      <c r="Q613">
        <v>6909</v>
      </c>
      <c r="R613" t="s">
        <v>923</v>
      </c>
      <c r="S613" t="s">
        <v>922</v>
      </c>
    </row>
    <row r="614" spans="1:19" x14ac:dyDescent="0.2">
      <c r="A614" t="s">
        <v>921</v>
      </c>
      <c r="B614" t="s">
        <v>42</v>
      </c>
      <c r="C614">
        <v>11</v>
      </c>
      <c r="D614" t="s">
        <v>120</v>
      </c>
      <c r="E614">
        <v>0</v>
      </c>
      <c r="F614" t="s">
        <v>920</v>
      </c>
      <c r="G614" t="s">
        <v>118</v>
      </c>
      <c r="H614" t="s">
        <v>117</v>
      </c>
      <c r="I614">
        <v>0.96317783508778998</v>
      </c>
      <c r="J614">
        <v>0.58348725202197704</v>
      </c>
      <c r="K614">
        <v>2</v>
      </c>
      <c r="L614">
        <v>3</v>
      </c>
      <c r="M614">
        <v>420</v>
      </c>
      <c r="N614" t="s">
        <v>907</v>
      </c>
      <c r="O614" t="s">
        <v>919</v>
      </c>
      <c r="P614">
        <v>11602</v>
      </c>
      <c r="Q614">
        <v>6926</v>
      </c>
      <c r="R614" t="s">
        <v>918</v>
      </c>
      <c r="S614" t="s">
        <v>917</v>
      </c>
    </row>
    <row r="615" spans="1:19" x14ac:dyDescent="0.2">
      <c r="A615" t="s">
        <v>916</v>
      </c>
      <c r="B615" t="s">
        <v>915</v>
      </c>
      <c r="C615">
        <v>20</v>
      </c>
      <c r="D615" t="s">
        <v>111</v>
      </c>
      <c r="E615">
        <v>0</v>
      </c>
      <c r="F615" t="s">
        <v>914</v>
      </c>
      <c r="G615" t="s">
        <v>109</v>
      </c>
      <c r="H615" t="s">
        <v>108</v>
      </c>
      <c r="M615">
        <v>16745</v>
      </c>
      <c r="N615" t="s">
        <v>907</v>
      </c>
      <c r="O615" t="s">
        <v>913</v>
      </c>
      <c r="P615">
        <v>11603</v>
      </c>
      <c r="Q615">
        <v>9496</v>
      </c>
      <c r="R615" t="s">
        <v>912</v>
      </c>
      <c r="S615" t="s">
        <v>911</v>
      </c>
    </row>
    <row r="616" spans="1:19" x14ac:dyDescent="0.2">
      <c r="A616" t="s">
        <v>910</v>
      </c>
      <c r="B616" t="s">
        <v>909</v>
      </c>
      <c r="C616">
        <v>8</v>
      </c>
      <c r="D616" t="s">
        <v>111</v>
      </c>
      <c r="E616">
        <v>0</v>
      </c>
      <c r="F616" t="s">
        <v>908</v>
      </c>
      <c r="G616" t="s">
        <v>229</v>
      </c>
      <c r="H616" t="s">
        <v>228</v>
      </c>
      <c r="M616">
        <v>38</v>
      </c>
      <c r="N616" t="s">
        <v>907</v>
      </c>
      <c r="O616" t="s">
        <v>906</v>
      </c>
      <c r="P616">
        <v>11604</v>
      </c>
      <c r="Q616">
        <v>6910</v>
      </c>
      <c r="R616" t="s">
        <v>905</v>
      </c>
      <c r="S616" t="s">
        <v>904</v>
      </c>
    </row>
    <row r="617" spans="1:19" x14ac:dyDescent="0.2">
      <c r="A617" t="s">
        <v>903</v>
      </c>
      <c r="B617" t="s">
        <v>902</v>
      </c>
      <c r="C617">
        <v>16</v>
      </c>
      <c r="D617" t="s">
        <v>363</v>
      </c>
      <c r="E617">
        <v>0</v>
      </c>
      <c r="F617" t="s">
        <v>901</v>
      </c>
      <c r="G617" t="s">
        <v>118</v>
      </c>
      <c r="H617" t="s">
        <v>117</v>
      </c>
      <c r="I617">
        <v>0.84695788220683499</v>
      </c>
      <c r="J617">
        <v>0.92872305826736101</v>
      </c>
      <c r="K617">
        <v>7</v>
      </c>
      <c r="L617">
        <v>19</v>
      </c>
      <c r="M617">
        <v>500</v>
      </c>
      <c r="N617" t="s">
        <v>845</v>
      </c>
      <c r="O617" t="s">
        <v>900</v>
      </c>
      <c r="P617">
        <v>11639</v>
      </c>
      <c r="Q617">
        <v>6932</v>
      </c>
      <c r="R617" t="s">
        <v>899</v>
      </c>
      <c r="S617" t="s">
        <v>898</v>
      </c>
    </row>
    <row r="618" spans="1:19" x14ac:dyDescent="0.2">
      <c r="A618" t="s">
        <v>897</v>
      </c>
      <c r="B618" t="s">
        <v>896</v>
      </c>
      <c r="C618">
        <v>12</v>
      </c>
      <c r="D618" t="s">
        <v>363</v>
      </c>
      <c r="E618">
        <v>0</v>
      </c>
      <c r="F618" t="s">
        <v>895</v>
      </c>
      <c r="G618" t="s">
        <v>118</v>
      </c>
      <c r="H618" t="s">
        <v>117</v>
      </c>
      <c r="I618">
        <v>0.96912902841939896</v>
      </c>
      <c r="J618">
        <v>0.930436552020667</v>
      </c>
      <c r="K618">
        <v>14</v>
      </c>
      <c r="L618">
        <v>5</v>
      </c>
      <c r="M618">
        <v>500</v>
      </c>
      <c r="N618" t="s">
        <v>876</v>
      </c>
      <c r="O618" t="s">
        <v>894</v>
      </c>
      <c r="P618">
        <v>11714</v>
      </c>
      <c r="Q618">
        <v>7003</v>
      </c>
      <c r="R618" t="s">
        <v>893</v>
      </c>
      <c r="S618" t="s">
        <v>892</v>
      </c>
    </row>
    <row r="619" spans="1:19" x14ac:dyDescent="0.2">
      <c r="A619" t="s">
        <v>891</v>
      </c>
      <c r="B619" t="s">
        <v>890</v>
      </c>
      <c r="C619">
        <v>12</v>
      </c>
      <c r="D619" t="s">
        <v>111</v>
      </c>
      <c r="E619">
        <v>0</v>
      </c>
      <c r="F619" t="s">
        <v>889</v>
      </c>
      <c r="G619" t="s">
        <v>118</v>
      </c>
      <c r="H619" t="s">
        <v>117</v>
      </c>
      <c r="I619">
        <v>0.60515127068764696</v>
      </c>
      <c r="J619">
        <v>0.91853705717399803</v>
      </c>
      <c r="K619">
        <v>2</v>
      </c>
      <c r="L619">
        <v>2</v>
      </c>
      <c r="M619">
        <v>308</v>
      </c>
      <c r="N619" t="s">
        <v>876</v>
      </c>
      <c r="O619" t="s">
        <v>888</v>
      </c>
      <c r="P619">
        <v>11715</v>
      </c>
      <c r="Q619">
        <v>8463</v>
      </c>
      <c r="R619" t="s">
        <v>887</v>
      </c>
      <c r="S619" t="s">
        <v>886</v>
      </c>
    </row>
    <row r="620" spans="1:19" x14ac:dyDescent="0.2">
      <c r="A620" t="s">
        <v>885</v>
      </c>
      <c r="B620" t="s">
        <v>884</v>
      </c>
      <c r="C620">
        <v>15</v>
      </c>
      <c r="D620" t="s">
        <v>111</v>
      </c>
      <c r="E620">
        <v>0</v>
      </c>
      <c r="F620" t="s">
        <v>883</v>
      </c>
      <c r="G620" t="s">
        <v>229</v>
      </c>
      <c r="H620" t="s">
        <v>228</v>
      </c>
      <c r="M620">
        <v>12</v>
      </c>
      <c r="N620" t="s">
        <v>876</v>
      </c>
      <c r="O620" t="s">
        <v>882</v>
      </c>
      <c r="P620">
        <v>11716</v>
      </c>
      <c r="Q620">
        <v>7005</v>
      </c>
      <c r="R620" t="s">
        <v>881</v>
      </c>
      <c r="S620" t="s">
        <v>880</v>
      </c>
    </row>
    <row r="621" spans="1:19" x14ac:dyDescent="0.2">
      <c r="A621" t="s">
        <v>879</v>
      </c>
      <c r="B621" t="s">
        <v>878</v>
      </c>
      <c r="C621">
        <v>13</v>
      </c>
      <c r="D621" t="s">
        <v>363</v>
      </c>
      <c r="E621">
        <v>0</v>
      </c>
      <c r="F621" t="s">
        <v>877</v>
      </c>
      <c r="G621" t="s">
        <v>118</v>
      </c>
      <c r="H621" t="s">
        <v>117</v>
      </c>
      <c r="I621">
        <v>0.97070350449999399</v>
      </c>
      <c r="J621">
        <v>0.93545636046994796</v>
      </c>
      <c r="K621">
        <v>57</v>
      </c>
      <c r="L621">
        <v>10</v>
      </c>
      <c r="M621">
        <v>500</v>
      </c>
      <c r="N621" t="s">
        <v>876</v>
      </c>
      <c r="O621" t="s">
        <v>875</v>
      </c>
      <c r="P621">
        <v>11717</v>
      </c>
      <c r="Q621">
        <v>7004</v>
      </c>
      <c r="R621" t="s">
        <v>874</v>
      </c>
      <c r="S621" t="s">
        <v>873</v>
      </c>
    </row>
    <row r="622" spans="1:19" x14ac:dyDescent="0.2">
      <c r="A622" t="s">
        <v>872</v>
      </c>
      <c r="B622" t="s">
        <v>871</v>
      </c>
      <c r="C622">
        <v>14</v>
      </c>
      <c r="D622" t="s">
        <v>111</v>
      </c>
      <c r="E622">
        <v>0</v>
      </c>
      <c r="F622" t="s">
        <v>870</v>
      </c>
      <c r="G622" t="s">
        <v>229</v>
      </c>
      <c r="H622" t="s">
        <v>228</v>
      </c>
      <c r="M622">
        <v>14</v>
      </c>
      <c r="N622" t="s">
        <v>869</v>
      </c>
      <c r="O622" t="s">
        <v>868</v>
      </c>
      <c r="P622">
        <v>11722</v>
      </c>
      <c r="Q622">
        <v>7008</v>
      </c>
      <c r="R622" t="s">
        <v>867</v>
      </c>
      <c r="S622" t="s">
        <v>866</v>
      </c>
    </row>
    <row r="623" spans="1:19" x14ac:dyDescent="0.2">
      <c r="A623" t="s">
        <v>865</v>
      </c>
      <c r="B623" t="s">
        <v>864</v>
      </c>
      <c r="C623">
        <v>15</v>
      </c>
      <c r="D623" t="s">
        <v>111</v>
      </c>
      <c r="E623">
        <v>0</v>
      </c>
      <c r="F623" t="s">
        <v>863</v>
      </c>
      <c r="G623" t="s">
        <v>109</v>
      </c>
      <c r="H623" t="s">
        <v>108</v>
      </c>
      <c r="M623">
        <v>14</v>
      </c>
      <c r="N623" t="s">
        <v>796</v>
      </c>
      <c r="O623" t="s">
        <v>795</v>
      </c>
      <c r="P623">
        <v>18570</v>
      </c>
      <c r="Q623">
        <v>90316</v>
      </c>
      <c r="R623" t="s">
        <v>862</v>
      </c>
      <c r="S623" t="s">
        <v>861</v>
      </c>
    </row>
    <row r="624" spans="1:19" x14ac:dyDescent="0.2">
      <c r="A624" t="s">
        <v>860</v>
      </c>
      <c r="B624" t="s">
        <v>62</v>
      </c>
      <c r="C624">
        <v>14</v>
      </c>
      <c r="D624" t="s">
        <v>363</v>
      </c>
      <c r="E624">
        <v>0</v>
      </c>
      <c r="F624" t="s">
        <v>859</v>
      </c>
      <c r="G624" t="s">
        <v>118</v>
      </c>
      <c r="H624" t="s">
        <v>117</v>
      </c>
      <c r="I624">
        <v>0.97660958714105195</v>
      </c>
      <c r="J624">
        <v>0.90636260905760302</v>
      </c>
      <c r="K624">
        <v>188</v>
      </c>
      <c r="L624">
        <v>99</v>
      </c>
      <c r="M624">
        <v>500</v>
      </c>
      <c r="N624" t="s">
        <v>858</v>
      </c>
      <c r="O624" t="s">
        <v>857</v>
      </c>
      <c r="P624">
        <v>9955</v>
      </c>
      <c r="Q624">
        <v>5970</v>
      </c>
      <c r="R624" t="s">
        <v>856</v>
      </c>
      <c r="S624" t="s">
        <v>855</v>
      </c>
    </row>
    <row r="625" spans="1:19" x14ac:dyDescent="0.2">
      <c r="A625" t="s">
        <v>854</v>
      </c>
      <c r="B625" t="s">
        <v>853</v>
      </c>
      <c r="C625">
        <v>13</v>
      </c>
      <c r="D625" t="s">
        <v>388</v>
      </c>
      <c r="E625">
        <v>0</v>
      </c>
      <c r="F625" t="s">
        <v>852</v>
      </c>
      <c r="G625" t="s">
        <v>118</v>
      </c>
      <c r="H625" t="s">
        <v>117</v>
      </c>
      <c r="I625">
        <v>0.92594501644571303</v>
      </c>
      <c r="J625">
        <v>0.74095750348905998</v>
      </c>
      <c r="K625">
        <v>10</v>
      </c>
      <c r="L625">
        <v>10</v>
      </c>
      <c r="M625">
        <v>500</v>
      </c>
      <c r="N625" t="s">
        <v>845</v>
      </c>
      <c r="O625" t="s">
        <v>851</v>
      </c>
      <c r="P625">
        <v>11640</v>
      </c>
      <c r="Q625">
        <v>83439</v>
      </c>
      <c r="R625" t="s">
        <v>850</v>
      </c>
      <c r="S625" t="s">
        <v>849</v>
      </c>
    </row>
    <row r="626" spans="1:19" x14ac:dyDescent="0.2">
      <c r="A626" t="s">
        <v>848</v>
      </c>
      <c r="B626" t="s">
        <v>847</v>
      </c>
      <c r="C626">
        <v>13</v>
      </c>
      <c r="D626" t="s">
        <v>363</v>
      </c>
      <c r="E626">
        <v>0</v>
      </c>
      <c r="F626" t="s">
        <v>846</v>
      </c>
      <c r="G626" t="s">
        <v>118</v>
      </c>
      <c r="H626" t="s">
        <v>117</v>
      </c>
      <c r="I626">
        <v>0.96156462213926597</v>
      </c>
      <c r="J626">
        <v>0.88783143240985196</v>
      </c>
      <c r="K626">
        <v>46</v>
      </c>
      <c r="L626">
        <v>10</v>
      </c>
      <c r="M626">
        <v>500</v>
      </c>
      <c r="N626" t="s">
        <v>845</v>
      </c>
      <c r="O626" t="s">
        <v>844</v>
      </c>
      <c r="P626">
        <v>11641</v>
      </c>
      <c r="Q626">
        <v>6934</v>
      </c>
      <c r="R626" t="s">
        <v>843</v>
      </c>
      <c r="S626" t="s">
        <v>842</v>
      </c>
    </row>
    <row r="627" spans="1:19" x14ac:dyDescent="0.2">
      <c r="A627" t="s">
        <v>841</v>
      </c>
      <c r="B627" t="s">
        <v>840</v>
      </c>
      <c r="C627">
        <v>10</v>
      </c>
      <c r="D627" t="s">
        <v>363</v>
      </c>
      <c r="E627">
        <v>0</v>
      </c>
      <c r="F627" t="s">
        <v>839</v>
      </c>
      <c r="G627" t="s">
        <v>118</v>
      </c>
      <c r="H627" t="s">
        <v>117</v>
      </c>
      <c r="I627">
        <v>0.92341857508509195</v>
      </c>
      <c r="K627">
        <v>7</v>
      </c>
      <c r="M627">
        <v>503</v>
      </c>
      <c r="N627" t="s">
        <v>718</v>
      </c>
      <c r="O627" t="s">
        <v>838</v>
      </c>
      <c r="P627">
        <v>11745</v>
      </c>
      <c r="Q627">
        <v>7023</v>
      </c>
      <c r="R627" t="s">
        <v>837</v>
      </c>
      <c r="S627" t="s">
        <v>836</v>
      </c>
    </row>
    <row r="628" spans="1:19" x14ac:dyDescent="0.2">
      <c r="A628" t="s">
        <v>835</v>
      </c>
      <c r="B628" t="s">
        <v>834</v>
      </c>
      <c r="C628">
        <v>16</v>
      </c>
      <c r="D628" t="s">
        <v>111</v>
      </c>
      <c r="E628">
        <v>0</v>
      </c>
      <c r="F628" t="s">
        <v>833</v>
      </c>
      <c r="G628" t="s">
        <v>229</v>
      </c>
      <c r="H628" t="s">
        <v>228</v>
      </c>
      <c r="M628">
        <v>13</v>
      </c>
      <c r="N628" t="s">
        <v>736</v>
      </c>
      <c r="O628" t="s">
        <v>832</v>
      </c>
      <c r="P628">
        <v>11748</v>
      </c>
      <c r="Q628">
        <v>7024</v>
      </c>
      <c r="R628" t="s">
        <v>831</v>
      </c>
      <c r="S628" t="s">
        <v>830</v>
      </c>
    </row>
    <row r="629" spans="1:19" x14ac:dyDescent="0.2">
      <c r="A629" t="s">
        <v>829</v>
      </c>
      <c r="B629" t="s">
        <v>828</v>
      </c>
      <c r="C629">
        <v>14</v>
      </c>
      <c r="D629" t="s">
        <v>120</v>
      </c>
      <c r="E629">
        <v>0</v>
      </c>
      <c r="F629" t="s">
        <v>827</v>
      </c>
      <c r="G629" t="s">
        <v>118</v>
      </c>
      <c r="H629" t="s">
        <v>117</v>
      </c>
      <c r="I629">
        <v>0.87079533512193896</v>
      </c>
      <c r="K629">
        <v>3</v>
      </c>
      <c r="M629">
        <v>500</v>
      </c>
      <c r="N629" t="s">
        <v>826</v>
      </c>
      <c r="O629" t="s">
        <v>825</v>
      </c>
      <c r="P629">
        <v>11749</v>
      </c>
      <c r="Q629">
        <v>7027</v>
      </c>
      <c r="R629" t="s">
        <v>824</v>
      </c>
      <c r="S629" t="s">
        <v>823</v>
      </c>
    </row>
    <row r="630" spans="1:19" x14ac:dyDescent="0.2">
      <c r="A630" t="s">
        <v>822</v>
      </c>
      <c r="B630" t="s">
        <v>821</v>
      </c>
      <c r="C630">
        <v>11</v>
      </c>
      <c r="D630" t="s">
        <v>363</v>
      </c>
      <c r="E630">
        <v>0</v>
      </c>
      <c r="F630" t="s">
        <v>820</v>
      </c>
      <c r="G630" t="s">
        <v>118</v>
      </c>
      <c r="H630" t="s">
        <v>117</v>
      </c>
      <c r="I630">
        <v>0.92554766304495495</v>
      </c>
      <c r="J630">
        <v>0.97739634280406495</v>
      </c>
      <c r="K630">
        <v>9</v>
      </c>
      <c r="L630">
        <v>60</v>
      </c>
      <c r="M630">
        <v>503</v>
      </c>
      <c r="N630" t="s">
        <v>819</v>
      </c>
      <c r="O630" t="s">
        <v>818</v>
      </c>
      <c r="P630">
        <v>11633</v>
      </c>
      <c r="Q630">
        <v>6929</v>
      </c>
      <c r="R630" t="s">
        <v>817</v>
      </c>
      <c r="S630" t="s">
        <v>816</v>
      </c>
    </row>
    <row r="631" spans="1:19" x14ac:dyDescent="0.2">
      <c r="A631" t="s">
        <v>815</v>
      </c>
      <c r="B631" t="s">
        <v>814</v>
      </c>
      <c r="C631">
        <v>10</v>
      </c>
      <c r="D631" t="s">
        <v>388</v>
      </c>
      <c r="E631">
        <v>0</v>
      </c>
      <c r="F631" t="s">
        <v>813</v>
      </c>
      <c r="G631" t="s">
        <v>118</v>
      </c>
      <c r="H631" t="s">
        <v>117</v>
      </c>
      <c r="I631">
        <v>0.48334283250346199</v>
      </c>
      <c r="J631">
        <v>0.99986384991222899</v>
      </c>
      <c r="K631">
        <v>2</v>
      </c>
      <c r="L631">
        <v>30</v>
      </c>
      <c r="M631">
        <v>478</v>
      </c>
      <c r="N631" t="s">
        <v>718</v>
      </c>
      <c r="O631" t="s">
        <v>807</v>
      </c>
      <c r="P631">
        <v>11752</v>
      </c>
      <c r="Q631">
        <v>7030</v>
      </c>
      <c r="R631" t="s">
        <v>812</v>
      </c>
      <c r="S631" t="s">
        <v>811</v>
      </c>
    </row>
    <row r="632" spans="1:19" x14ac:dyDescent="0.2">
      <c r="A632" t="s">
        <v>810</v>
      </c>
      <c r="B632" t="s">
        <v>809</v>
      </c>
      <c r="C632">
        <v>9</v>
      </c>
      <c r="D632" t="s">
        <v>120</v>
      </c>
      <c r="E632">
        <v>0</v>
      </c>
      <c r="F632" t="s">
        <v>808</v>
      </c>
      <c r="G632" t="s">
        <v>229</v>
      </c>
      <c r="H632" t="s">
        <v>228</v>
      </c>
      <c r="M632">
        <v>301</v>
      </c>
      <c r="N632" t="s">
        <v>718</v>
      </c>
      <c r="O632" t="s">
        <v>807</v>
      </c>
      <c r="P632">
        <v>11753</v>
      </c>
      <c r="Q632">
        <v>7942</v>
      </c>
      <c r="R632" t="s">
        <v>806</v>
      </c>
      <c r="S632" t="s">
        <v>805</v>
      </c>
    </row>
    <row r="633" spans="1:19" x14ac:dyDescent="0.2">
      <c r="A633" t="s">
        <v>804</v>
      </c>
      <c r="B633" t="s">
        <v>803</v>
      </c>
      <c r="C633">
        <v>7</v>
      </c>
      <c r="D633" t="s">
        <v>363</v>
      </c>
      <c r="E633">
        <v>0</v>
      </c>
      <c r="F633" t="s">
        <v>802</v>
      </c>
      <c r="G633" t="s">
        <v>118</v>
      </c>
      <c r="H633" t="s">
        <v>117</v>
      </c>
      <c r="I633">
        <v>0.86110229537490901</v>
      </c>
      <c r="J633">
        <v>0.97567857697841998</v>
      </c>
      <c r="K633">
        <v>2</v>
      </c>
      <c r="L633">
        <v>5</v>
      </c>
      <c r="M633">
        <v>500</v>
      </c>
      <c r="N633" t="s">
        <v>796</v>
      </c>
      <c r="O633" t="s">
        <v>795</v>
      </c>
      <c r="P633">
        <v>11776</v>
      </c>
      <c r="Q633">
        <v>7050</v>
      </c>
      <c r="R633" t="s">
        <v>801</v>
      </c>
      <c r="S633" t="s">
        <v>800</v>
      </c>
    </row>
    <row r="634" spans="1:19" x14ac:dyDescent="0.2">
      <c r="A634" t="s">
        <v>799</v>
      </c>
      <c r="B634" t="s">
        <v>798</v>
      </c>
      <c r="C634">
        <v>11</v>
      </c>
      <c r="D634" t="s">
        <v>111</v>
      </c>
      <c r="E634">
        <v>0</v>
      </c>
      <c r="F634" t="s">
        <v>797</v>
      </c>
      <c r="G634" t="s">
        <v>109</v>
      </c>
      <c r="H634" t="s">
        <v>108</v>
      </c>
      <c r="M634">
        <v>46893</v>
      </c>
      <c r="N634" t="s">
        <v>796</v>
      </c>
      <c r="O634" t="s">
        <v>795</v>
      </c>
      <c r="P634">
        <v>15764</v>
      </c>
      <c r="Q634">
        <v>60436</v>
      </c>
      <c r="R634" t="s">
        <v>794</v>
      </c>
      <c r="S634" t="s">
        <v>793</v>
      </c>
    </row>
    <row r="635" spans="1:19" x14ac:dyDescent="0.2">
      <c r="A635" t="s">
        <v>792</v>
      </c>
      <c r="B635" t="s">
        <v>791</v>
      </c>
      <c r="C635">
        <v>22</v>
      </c>
      <c r="D635" t="s">
        <v>388</v>
      </c>
      <c r="E635">
        <v>0</v>
      </c>
      <c r="F635" t="s">
        <v>790</v>
      </c>
      <c r="G635" t="s">
        <v>118</v>
      </c>
      <c r="H635" t="s">
        <v>117</v>
      </c>
      <c r="I635">
        <v>0.94245067984743702</v>
      </c>
      <c r="J635">
        <v>0.76822481254403696</v>
      </c>
      <c r="K635">
        <v>2</v>
      </c>
      <c r="L635">
        <v>2</v>
      </c>
      <c r="M635">
        <v>126</v>
      </c>
      <c r="N635" t="s">
        <v>783</v>
      </c>
      <c r="O635" t="s">
        <v>789</v>
      </c>
      <c r="P635">
        <v>23194</v>
      </c>
      <c r="Q635">
        <v>57215</v>
      </c>
      <c r="R635" t="s">
        <v>788</v>
      </c>
      <c r="S635" t="s">
        <v>787</v>
      </c>
    </row>
    <row r="636" spans="1:19" x14ac:dyDescent="0.2">
      <c r="A636" t="s">
        <v>786</v>
      </c>
      <c r="B636" t="s">
        <v>785</v>
      </c>
      <c r="C636">
        <v>22</v>
      </c>
      <c r="D636" t="s">
        <v>120</v>
      </c>
      <c r="E636">
        <v>0</v>
      </c>
      <c r="F636" t="s">
        <v>784</v>
      </c>
      <c r="G636" t="s">
        <v>109</v>
      </c>
      <c r="H636" t="s">
        <v>117</v>
      </c>
      <c r="I636">
        <v>0.97749785147157797</v>
      </c>
      <c r="K636">
        <v>4</v>
      </c>
      <c r="M636">
        <v>498</v>
      </c>
      <c r="N636" t="s">
        <v>783</v>
      </c>
      <c r="O636" t="s">
        <v>782</v>
      </c>
      <c r="P636">
        <v>20856</v>
      </c>
      <c r="Q636">
        <v>55145</v>
      </c>
      <c r="R636" t="s">
        <v>781</v>
      </c>
      <c r="S636" t="s">
        <v>780</v>
      </c>
    </row>
    <row r="637" spans="1:19" x14ac:dyDescent="0.2">
      <c r="A637" t="s">
        <v>779</v>
      </c>
      <c r="B637" t="s">
        <v>776</v>
      </c>
      <c r="C637">
        <v>17</v>
      </c>
      <c r="D637" t="s">
        <v>120</v>
      </c>
      <c r="E637">
        <v>0</v>
      </c>
      <c r="F637" t="s">
        <v>778</v>
      </c>
      <c r="G637" t="s">
        <v>229</v>
      </c>
      <c r="H637" t="s">
        <v>228</v>
      </c>
      <c r="M637">
        <v>75</v>
      </c>
      <c r="N637" t="s">
        <v>698</v>
      </c>
      <c r="O637" t="s">
        <v>767</v>
      </c>
      <c r="P637">
        <v>11796</v>
      </c>
      <c r="Q637">
        <v>7067</v>
      </c>
      <c r="R637" t="s">
        <v>774</v>
      </c>
      <c r="S637" t="s">
        <v>773</v>
      </c>
    </row>
    <row r="638" spans="1:19" x14ac:dyDescent="0.2">
      <c r="A638" t="s">
        <v>777</v>
      </c>
      <c r="B638" t="s">
        <v>776</v>
      </c>
      <c r="C638">
        <v>10</v>
      </c>
      <c r="D638" t="s">
        <v>111</v>
      </c>
      <c r="E638">
        <v>1</v>
      </c>
      <c r="F638" t="s">
        <v>775</v>
      </c>
      <c r="G638" t="s">
        <v>229</v>
      </c>
      <c r="H638" t="s">
        <v>228</v>
      </c>
      <c r="M638">
        <v>76</v>
      </c>
      <c r="N638" t="s">
        <v>698</v>
      </c>
      <c r="O638" t="s">
        <v>767</v>
      </c>
      <c r="P638">
        <v>11796</v>
      </c>
      <c r="Q638">
        <v>7067</v>
      </c>
      <c r="R638" t="s">
        <v>774</v>
      </c>
      <c r="S638" t="s">
        <v>773</v>
      </c>
    </row>
    <row r="639" spans="1:19" x14ac:dyDescent="0.2">
      <c r="A639" t="s">
        <v>772</v>
      </c>
      <c r="B639" t="s">
        <v>769</v>
      </c>
      <c r="C639">
        <v>17</v>
      </c>
      <c r="D639" t="s">
        <v>120</v>
      </c>
      <c r="E639">
        <v>0</v>
      </c>
      <c r="F639" t="s">
        <v>771</v>
      </c>
      <c r="G639" t="s">
        <v>229</v>
      </c>
      <c r="H639" t="s">
        <v>228</v>
      </c>
      <c r="M639">
        <v>38</v>
      </c>
      <c r="N639" t="s">
        <v>698</v>
      </c>
      <c r="O639" t="s">
        <v>767</v>
      </c>
      <c r="P639">
        <v>11799</v>
      </c>
      <c r="Q639">
        <v>7068</v>
      </c>
      <c r="R639" t="s">
        <v>766</v>
      </c>
      <c r="S639" t="s">
        <v>765</v>
      </c>
    </row>
    <row r="640" spans="1:19" x14ac:dyDescent="0.2">
      <c r="A640" t="s">
        <v>770</v>
      </c>
      <c r="B640" t="s">
        <v>769</v>
      </c>
      <c r="C640">
        <v>10</v>
      </c>
      <c r="D640" t="s">
        <v>111</v>
      </c>
      <c r="E640">
        <v>1</v>
      </c>
      <c r="F640" t="s">
        <v>768</v>
      </c>
      <c r="G640" t="s">
        <v>229</v>
      </c>
      <c r="H640" t="s">
        <v>228</v>
      </c>
      <c r="M640">
        <v>58</v>
      </c>
      <c r="N640" t="s">
        <v>698</v>
      </c>
      <c r="O640" t="s">
        <v>767</v>
      </c>
      <c r="P640">
        <v>11799</v>
      </c>
      <c r="Q640">
        <v>7068</v>
      </c>
      <c r="R640" t="s">
        <v>766</v>
      </c>
      <c r="S640" t="s">
        <v>765</v>
      </c>
    </row>
    <row r="641" spans="1:19" x14ac:dyDescent="0.2">
      <c r="A641" t="s">
        <v>764</v>
      </c>
      <c r="B641" t="s">
        <v>763</v>
      </c>
      <c r="C641">
        <v>17</v>
      </c>
      <c r="D641" t="s">
        <v>111</v>
      </c>
      <c r="E641">
        <v>0</v>
      </c>
      <c r="F641" t="s">
        <v>762</v>
      </c>
      <c r="G641" t="s">
        <v>229</v>
      </c>
      <c r="H641" t="s">
        <v>228</v>
      </c>
      <c r="M641">
        <v>50</v>
      </c>
      <c r="N641" t="s">
        <v>691</v>
      </c>
      <c r="O641" t="s">
        <v>761</v>
      </c>
      <c r="P641">
        <v>5056</v>
      </c>
      <c r="Q641">
        <v>3195</v>
      </c>
      <c r="R641" t="s">
        <v>760</v>
      </c>
      <c r="S641" t="s">
        <v>759</v>
      </c>
    </row>
    <row r="642" spans="1:19" x14ac:dyDescent="0.2">
      <c r="A642" t="s">
        <v>758</v>
      </c>
      <c r="B642" t="s">
        <v>755</v>
      </c>
      <c r="C642">
        <v>17</v>
      </c>
      <c r="D642" t="s">
        <v>363</v>
      </c>
      <c r="E642">
        <v>0</v>
      </c>
      <c r="F642" t="s">
        <v>757</v>
      </c>
      <c r="G642" t="s">
        <v>118</v>
      </c>
      <c r="H642" t="s">
        <v>117</v>
      </c>
      <c r="I642">
        <v>0.96903724969196703</v>
      </c>
      <c r="J642">
        <v>0.53935265246507802</v>
      </c>
      <c r="K642">
        <v>9</v>
      </c>
      <c r="L642">
        <v>8</v>
      </c>
      <c r="M642">
        <v>497</v>
      </c>
      <c r="N642" t="s">
        <v>753</v>
      </c>
      <c r="O642" t="s">
        <v>752</v>
      </c>
      <c r="P642">
        <v>12428</v>
      </c>
      <c r="Q642">
        <v>7291</v>
      </c>
      <c r="R642" t="s">
        <v>751</v>
      </c>
      <c r="S642" t="s">
        <v>750</v>
      </c>
    </row>
    <row r="643" spans="1:19" x14ac:dyDescent="0.2">
      <c r="A643" t="s">
        <v>756</v>
      </c>
      <c r="B643" t="s">
        <v>755</v>
      </c>
      <c r="C643">
        <v>10</v>
      </c>
      <c r="D643" t="s">
        <v>363</v>
      </c>
      <c r="E643">
        <v>1</v>
      </c>
      <c r="F643" t="s">
        <v>754</v>
      </c>
      <c r="G643" t="s">
        <v>118</v>
      </c>
      <c r="H643" t="s">
        <v>117</v>
      </c>
      <c r="I643">
        <v>0.97144748944551795</v>
      </c>
      <c r="J643">
        <v>0.56698484484515699</v>
      </c>
      <c r="K643">
        <v>9</v>
      </c>
      <c r="L643">
        <v>8</v>
      </c>
      <c r="M643">
        <v>502</v>
      </c>
      <c r="N643" t="s">
        <v>753</v>
      </c>
      <c r="O643" t="s">
        <v>752</v>
      </c>
      <c r="P643">
        <v>12428</v>
      </c>
      <c r="Q643">
        <v>7291</v>
      </c>
      <c r="R643" t="s">
        <v>751</v>
      </c>
      <c r="S643" t="s">
        <v>750</v>
      </c>
    </row>
    <row r="644" spans="1:19" x14ac:dyDescent="0.2">
      <c r="A644" t="s">
        <v>749</v>
      </c>
      <c r="B644" t="s">
        <v>748</v>
      </c>
      <c r="C644">
        <v>12</v>
      </c>
      <c r="D644" t="s">
        <v>363</v>
      </c>
      <c r="E644">
        <v>0</v>
      </c>
      <c r="F644" t="s">
        <v>747</v>
      </c>
      <c r="G644" t="s">
        <v>118</v>
      </c>
      <c r="H644" t="s">
        <v>117</v>
      </c>
      <c r="I644">
        <v>0.98106895289646201</v>
      </c>
      <c r="J644">
        <v>0.98872684548799905</v>
      </c>
      <c r="K644">
        <v>69</v>
      </c>
      <c r="L644">
        <v>72</v>
      </c>
      <c r="M644">
        <v>453</v>
      </c>
      <c r="N644" t="s">
        <v>107</v>
      </c>
      <c r="O644" t="s">
        <v>548</v>
      </c>
      <c r="P644">
        <v>12856</v>
      </c>
      <c r="Q644">
        <v>7528</v>
      </c>
      <c r="R644" t="s">
        <v>746</v>
      </c>
      <c r="S644" t="s">
        <v>745</v>
      </c>
    </row>
    <row r="645" spans="1:19" x14ac:dyDescent="0.2">
      <c r="A645" t="s">
        <v>744</v>
      </c>
      <c r="B645" t="s">
        <v>743</v>
      </c>
      <c r="C645">
        <v>11</v>
      </c>
      <c r="D645" t="s">
        <v>111</v>
      </c>
      <c r="E645">
        <v>0</v>
      </c>
      <c r="F645" t="s">
        <v>742</v>
      </c>
      <c r="G645" t="s">
        <v>109</v>
      </c>
      <c r="H645" t="s">
        <v>108</v>
      </c>
      <c r="M645">
        <v>943</v>
      </c>
      <c r="N645" t="s">
        <v>107</v>
      </c>
      <c r="O645" t="s">
        <v>548</v>
      </c>
      <c r="P645">
        <v>31684</v>
      </c>
      <c r="Q645">
        <v>404281</v>
      </c>
      <c r="R645" t="s">
        <v>741</v>
      </c>
      <c r="S645" t="s">
        <v>740</v>
      </c>
    </row>
    <row r="646" spans="1:19" x14ac:dyDescent="0.2">
      <c r="A646" t="s">
        <v>739</v>
      </c>
      <c r="B646" t="s">
        <v>738</v>
      </c>
      <c r="C646">
        <v>7</v>
      </c>
      <c r="D646" t="s">
        <v>111</v>
      </c>
      <c r="E646">
        <v>0</v>
      </c>
      <c r="F646" t="s">
        <v>737</v>
      </c>
      <c r="G646" t="s">
        <v>229</v>
      </c>
      <c r="H646" t="s">
        <v>228</v>
      </c>
      <c r="M646">
        <v>5</v>
      </c>
      <c r="N646" t="s">
        <v>736</v>
      </c>
      <c r="O646" t="s">
        <v>735</v>
      </c>
      <c r="P646">
        <v>12507</v>
      </c>
      <c r="Q646">
        <v>7342</v>
      </c>
      <c r="R646" t="s">
        <v>734</v>
      </c>
      <c r="S646" t="s">
        <v>733</v>
      </c>
    </row>
    <row r="647" spans="1:19" x14ac:dyDescent="0.2">
      <c r="A647" t="s">
        <v>732</v>
      </c>
      <c r="B647" t="s">
        <v>731</v>
      </c>
      <c r="C647">
        <v>11</v>
      </c>
      <c r="D647" t="s">
        <v>111</v>
      </c>
      <c r="E647">
        <v>0</v>
      </c>
      <c r="F647" t="s">
        <v>730</v>
      </c>
      <c r="G647" t="s">
        <v>109</v>
      </c>
      <c r="H647" t="s">
        <v>108</v>
      </c>
      <c r="M647">
        <v>45763</v>
      </c>
      <c r="N647" t="s">
        <v>671</v>
      </c>
      <c r="O647" t="s">
        <v>729</v>
      </c>
      <c r="P647">
        <v>33194</v>
      </c>
      <c r="Q647">
        <v>340260</v>
      </c>
      <c r="R647" t="s">
        <v>728</v>
      </c>
      <c r="S647" t="s">
        <v>727</v>
      </c>
    </row>
    <row r="648" spans="1:19" x14ac:dyDescent="0.2">
      <c r="A648" t="s">
        <v>726</v>
      </c>
      <c r="B648" t="s">
        <v>725</v>
      </c>
      <c r="C648">
        <v>12</v>
      </c>
      <c r="D648" t="s">
        <v>363</v>
      </c>
      <c r="E648">
        <v>0</v>
      </c>
      <c r="F648" t="s">
        <v>724</v>
      </c>
      <c r="G648" t="s">
        <v>118</v>
      </c>
      <c r="H648" t="s">
        <v>117</v>
      </c>
      <c r="I648">
        <v>0.99818125084268805</v>
      </c>
      <c r="J648">
        <v>0.98043456509486304</v>
      </c>
      <c r="K648">
        <v>59</v>
      </c>
      <c r="L648">
        <v>7</v>
      </c>
      <c r="M648">
        <v>485</v>
      </c>
      <c r="N648" t="s">
        <v>718</v>
      </c>
      <c r="O648" t="s">
        <v>717</v>
      </c>
      <c r="P648">
        <v>12593</v>
      </c>
      <c r="Q648">
        <v>7391</v>
      </c>
      <c r="R648" t="s">
        <v>723</v>
      </c>
      <c r="S648" t="s">
        <v>722</v>
      </c>
    </row>
    <row r="649" spans="1:19" x14ac:dyDescent="0.2">
      <c r="A649" t="s">
        <v>721</v>
      </c>
      <c r="B649" t="s">
        <v>720</v>
      </c>
      <c r="C649">
        <v>19</v>
      </c>
      <c r="D649" t="s">
        <v>363</v>
      </c>
      <c r="E649">
        <v>0</v>
      </c>
      <c r="F649" t="s">
        <v>719</v>
      </c>
      <c r="G649" t="s">
        <v>109</v>
      </c>
      <c r="H649" t="s">
        <v>117</v>
      </c>
      <c r="I649">
        <v>0.99816403652670604</v>
      </c>
      <c r="J649">
        <v>0.99829017144752596</v>
      </c>
      <c r="K649">
        <v>23</v>
      </c>
      <c r="L649">
        <v>10</v>
      </c>
      <c r="M649">
        <v>501</v>
      </c>
      <c r="N649" t="s">
        <v>718</v>
      </c>
      <c r="O649" t="s">
        <v>717</v>
      </c>
      <c r="P649">
        <v>12594</v>
      </c>
      <c r="Q649">
        <v>7392</v>
      </c>
      <c r="R649" t="s">
        <v>716</v>
      </c>
      <c r="S649" t="s">
        <v>715</v>
      </c>
    </row>
    <row r="650" spans="1:19" x14ac:dyDescent="0.2">
      <c r="A650" t="s">
        <v>714</v>
      </c>
      <c r="B650" t="s">
        <v>713</v>
      </c>
      <c r="C650">
        <v>18</v>
      </c>
      <c r="D650" t="s">
        <v>111</v>
      </c>
      <c r="E650">
        <v>0</v>
      </c>
      <c r="F650" t="s">
        <v>712</v>
      </c>
      <c r="G650" t="s">
        <v>109</v>
      </c>
      <c r="H650" t="s">
        <v>108</v>
      </c>
      <c r="M650">
        <v>50</v>
      </c>
      <c r="N650" t="s">
        <v>691</v>
      </c>
      <c r="O650" t="s">
        <v>706</v>
      </c>
      <c r="P650">
        <v>12660</v>
      </c>
      <c r="Q650">
        <v>11023</v>
      </c>
      <c r="R650" t="s">
        <v>711</v>
      </c>
      <c r="S650" t="s">
        <v>710</v>
      </c>
    </row>
    <row r="651" spans="1:19" x14ac:dyDescent="0.2">
      <c r="A651" t="s">
        <v>709</v>
      </c>
      <c r="B651" t="s">
        <v>708</v>
      </c>
      <c r="C651">
        <v>16</v>
      </c>
      <c r="D651" t="s">
        <v>111</v>
      </c>
      <c r="E651">
        <v>0</v>
      </c>
      <c r="F651" t="s">
        <v>707</v>
      </c>
      <c r="G651" t="s">
        <v>109</v>
      </c>
      <c r="H651" t="s">
        <v>108</v>
      </c>
      <c r="M651">
        <v>51</v>
      </c>
      <c r="N651" t="s">
        <v>691</v>
      </c>
      <c r="O651" t="s">
        <v>706</v>
      </c>
      <c r="P651">
        <v>12661</v>
      </c>
      <c r="Q651">
        <v>25806</v>
      </c>
      <c r="R651" t="s">
        <v>705</v>
      </c>
      <c r="S651" t="s">
        <v>704</v>
      </c>
    </row>
    <row r="652" spans="1:19" x14ac:dyDescent="0.2">
      <c r="A652" t="s">
        <v>703</v>
      </c>
      <c r="B652" t="s">
        <v>700</v>
      </c>
      <c r="C652">
        <v>16</v>
      </c>
      <c r="D652" t="s">
        <v>363</v>
      </c>
      <c r="E652">
        <v>0</v>
      </c>
      <c r="F652" t="s">
        <v>702</v>
      </c>
      <c r="G652" t="s">
        <v>118</v>
      </c>
      <c r="H652" t="s">
        <v>117</v>
      </c>
      <c r="I652">
        <v>0.94250476415513695</v>
      </c>
      <c r="J652">
        <v>0.93209765402739997</v>
      </c>
      <c r="K652">
        <v>48</v>
      </c>
      <c r="L652">
        <v>30</v>
      </c>
      <c r="M652">
        <v>500</v>
      </c>
      <c r="N652" t="s">
        <v>698</v>
      </c>
      <c r="O652" t="s">
        <v>697</v>
      </c>
      <c r="P652">
        <v>12679</v>
      </c>
      <c r="Q652">
        <v>7421</v>
      </c>
      <c r="R652" t="s">
        <v>696</v>
      </c>
      <c r="S652" t="s">
        <v>695</v>
      </c>
    </row>
    <row r="653" spans="1:19" x14ac:dyDescent="0.2">
      <c r="A653" t="s">
        <v>701</v>
      </c>
      <c r="B653" t="s">
        <v>700</v>
      </c>
      <c r="C653">
        <v>9</v>
      </c>
      <c r="D653" t="s">
        <v>363</v>
      </c>
      <c r="E653">
        <v>1</v>
      </c>
      <c r="F653" t="s">
        <v>699</v>
      </c>
      <c r="G653" t="s">
        <v>118</v>
      </c>
      <c r="H653" t="s">
        <v>117</v>
      </c>
      <c r="I653">
        <v>0.87722144035577698</v>
      </c>
      <c r="J653">
        <v>0.82083617420841903</v>
      </c>
      <c r="K653">
        <v>48</v>
      </c>
      <c r="L653">
        <v>30</v>
      </c>
      <c r="M653">
        <v>500</v>
      </c>
      <c r="N653" t="s">
        <v>698</v>
      </c>
      <c r="O653" t="s">
        <v>697</v>
      </c>
      <c r="P653">
        <v>12679</v>
      </c>
      <c r="Q653">
        <v>7421</v>
      </c>
      <c r="R653" t="s">
        <v>696</v>
      </c>
      <c r="S653" t="s">
        <v>695</v>
      </c>
    </row>
    <row r="654" spans="1:19" x14ac:dyDescent="0.2">
      <c r="A654" t="s">
        <v>694</v>
      </c>
      <c r="B654" t="s">
        <v>693</v>
      </c>
      <c r="C654">
        <v>19</v>
      </c>
      <c r="D654" t="s">
        <v>111</v>
      </c>
      <c r="E654">
        <v>0</v>
      </c>
      <c r="F654" t="s">
        <v>692</v>
      </c>
      <c r="G654" t="s">
        <v>109</v>
      </c>
      <c r="H654" t="s">
        <v>108</v>
      </c>
      <c r="M654">
        <v>9943</v>
      </c>
      <c r="N654" t="s">
        <v>691</v>
      </c>
      <c r="O654" t="s">
        <v>690</v>
      </c>
      <c r="P654">
        <v>13639</v>
      </c>
      <c r="Q654">
        <v>27287</v>
      </c>
      <c r="R654" t="s">
        <v>689</v>
      </c>
      <c r="S654" t="s">
        <v>688</v>
      </c>
    </row>
    <row r="655" spans="1:19" x14ac:dyDescent="0.2">
      <c r="A655" t="s">
        <v>687</v>
      </c>
      <c r="B655" t="s">
        <v>684</v>
      </c>
      <c r="C655">
        <v>22</v>
      </c>
      <c r="D655" t="s">
        <v>120</v>
      </c>
      <c r="E655">
        <v>0</v>
      </c>
      <c r="F655" t="s">
        <v>686</v>
      </c>
      <c r="G655" t="s">
        <v>118</v>
      </c>
      <c r="H655" t="s">
        <v>117</v>
      </c>
      <c r="I655">
        <v>0.90897771784020898</v>
      </c>
      <c r="K655">
        <v>5</v>
      </c>
      <c r="M655">
        <v>500</v>
      </c>
      <c r="N655" t="s">
        <v>137</v>
      </c>
      <c r="O655" t="s">
        <v>682</v>
      </c>
      <c r="P655">
        <v>12949</v>
      </c>
      <c r="Q655">
        <v>7716</v>
      </c>
      <c r="R655" t="s">
        <v>681</v>
      </c>
      <c r="S655" t="s">
        <v>680</v>
      </c>
    </row>
    <row r="656" spans="1:19" x14ac:dyDescent="0.2">
      <c r="A656" t="s">
        <v>685</v>
      </c>
      <c r="B656" t="s">
        <v>684</v>
      </c>
      <c r="C656">
        <v>12</v>
      </c>
      <c r="D656" t="s">
        <v>120</v>
      </c>
      <c r="E656">
        <v>1</v>
      </c>
      <c r="F656" t="s">
        <v>683</v>
      </c>
      <c r="G656" t="s">
        <v>118</v>
      </c>
      <c r="H656" t="s">
        <v>117</v>
      </c>
      <c r="I656">
        <v>0.869849771395803</v>
      </c>
      <c r="K656">
        <v>5</v>
      </c>
      <c r="M656">
        <v>489</v>
      </c>
      <c r="N656" t="s">
        <v>137</v>
      </c>
      <c r="O656" t="s">
        <v>682</v>
      </c>
      <c r="P656">
        <v>12949</v>
      </c>
      <c r="Q656">
        <v>7716</v>
      </c>
      <c r="R656" t="s">
        <v>681</v>
      </c>
      <c r="S656" t="s">
        <v>680</v>
      </c>
    </row>
    <row r="657" spans="1:19" x14ac:dyDescent="0.2">
      <c r="A657" t="s">
        <v>679</v>
      </c>
      <c r="B657" t="s">
        <v>678</v>
      </c>
      <c r="C657">
        <v>14</v>
      </c>
      <c r="D657" t="s">
        <v>111</v>
      </c>
      <c r="E657">
        <v>0</v>
      </c>
      <c r="F657" t="s">
        <v>677</v>
      </c>
      <c r="G657" t="s">
        <v>109</v>
      </c>
      <c r="H657" t="s">
        <v>108</v>
      </c>
      <c r="M657">
        <v>6598</v>
      </c>
      <c r="N657" t="s">
        <v>671</v>
      </c>
      <c r="O657" t="s">
        <v>670</v>
      </c>
      <c r="P657">
        <v>12723</v>
      </c>
      <c r="Q657">
        <v>30813</v>
      </c>
      <c r="R657" t="s">
        <v>676</v>
      </c>
      <c r="S657" t="s">
        <v>675</v>
      </c>
    </row>
    <row r="658" spans="1:19" x14ac:dyDescent="0.2">
      <c r="A658" t="s">
        <v>674</v>
      </c>
      <c r="B658" t="s">
        <v>673</v>
      </c>
      <c r="C658">
        <v>12</v>
      </c>
      <c r="D658" t="s">
        <v>111</v>
      </c>
      <c r="E658">
        <v>0</v>
      </c>
      <c r="F658" t="s">
        <v>672</v>
      </c>
      <c r="G658" t="s">
        <v>118</v>
      </c>
      <c r="H658" t="s">
        <v>117</v>
      </c>
      <c r="J658">
        <v>0.99599198182331605</v>
      </c>
      <c r="L658">
        <v>3</v>
      </c>
      <c r="M658">
        <v>504</v>
      </c>
      <c r="N658" t="s">
        <v>671</v>
      </c>
      <c r="O658" t="s">
        <v>670</v>
      </c>
      <c r="P658">
        <v>1975</v>
      </c>
      <c r="Q658">
        <v>338917</v>
      </c>
      <c r="R658" t="s">
        <v>669</v>
      </c>
      <c r="S658" t="s">
        <v>668</v>
      </c>
    </row>
    <row r="659" spans="1:19" x14ac:dyDescent="0.2">
      <c r="A659" t="s">
        <v>667</v>
      </c>
      <c r="B659" t="s">
        <v>664</v>
      </c>
      <c r="C659">
        <v>20</v>
      </c>
      <c r="D659" t="s">
        <v>120</v>
      </c>
      <c r="E659">
        <v>0</v>
      </c>
      <c r="F659" t="s">
        <v>666</v>
      </c>
      <c r="G659" t="s">
        <v>118</v>
      </c>
      <c r="H659" t="s">
        <v>117</v>
      </c>
      <c r="J659">
        <v>0.98512526616957696</v>
      </c>
      <c r="L659">
        <v>5</v>
      </c>
      <c r="M659">
        <v>500</v>
      </c>
      <c r="N659" t="s">
        <v>107</v>
      </c>
      <c r="O659" t="s">
        <v>125</v>
      </c>
      <c r="P659">
        <v>12796</v>
      </c>
      <c r="Q659">
        <v>7490</v>
      </c>
      <c r="R659" t="s">
        <v>662</v>
      </c>
      <c r="S659" t="s">
        <v>661</v>
      </c>
    </row>
    <row r="660" spans="1:19" x14ac:dyDescent="0.2">
      <c r="A660" t="s">
        <v>665</v>
      </c>
      <c r="B660" t="s">
        <v>664</v>
      </c>
      <c r="C660">
        <v>11</v>
      </c>
      <c r="D660" t="s">
        <v>388</v>
      </c>
      <c r="E660">
        <v>1</v>
      </c>
      <c r="F660" t="s">
        <v>663</v>
      </c>
      <c r="G660" t="s">
        <v>118</v>
      </c>
      <c r="H660" t="s">
        <v>117</v>
      </c>
      <c r="J660">
        <v>0.98631435546149404</v>
      </c>
      <c r="L660">
        <v>5</v>
      </c>
      <c r="M660">
        <v>115</v>
      </c>
      <c r="N660" t="s">
        <v>107</v>
      </c>
      <c r="O660" t="s">
        <v>125</v>
      </c>
      <c r="P660">
        <v>12796</v>
      </c>
      <c r="Q660">
        <v>7490</v>
      </c>
      <c r="R660" t="s">
        <v>662</v>
      </c>
      <c r="S660" t="s">
        <v>661</v>
      </c>
    </row>
    <row r="661" spans="1:19" x14ac:dyDescent="0.2">
      <c r="A661" t="s">
        <v>660</v>
      </c>
      <c r="B661" t="s">
        <v>659</v>
      </c>
      <c r="C661">
        <v>11</v>
      </c>
      <c r="D661" t="s">
        <v>111</v>
      </c>
      <c r="E661">
        <v>0</v>
      </c>
      <c r="F661" t="s">
        <v>658</v>
      </c>
      <c r="G661" t="s">
        <v>118</v>
      </c>
      <c r="H661" t="s">
        <v>117</v>
      </c>
      <c r="I661">
        <v>0.79496770506672398</v>
      </c>
      <c r="K661">
        <v>5</v>
      </c>
      <c r="M661">
        <v>502</v>
      </c>
      <c r="N661" t="s">
        <v>657</v>
      </c>
      <c r="O661" t="s">
        <v>656</v>
      </c>
      <c r="P661">
        <v>12801</v>
      </c>
      <c r="Q661">
        <v>7494</v>
      </c>
      <c r="R661" t="s">
        <v>655</v>
      </c>
      <c r="S661" t="s">
        <v>654</v>
      </c>
    </row>
    <row r="662" spans="1:19" x14ac:dyDescent="0.2">
      <c r="A662" t="s">
        <v>653</v>
      </c>
      <c r="B662" t="s">
        <v>652</v>
      </c>
      <c r="C662">
        <v>23</v>
      </c>
      <c r="D662" t="s">
        <v>120</v>
      </c>
      <c r="E662">
        <v>0</v>
      </c>
      <c r="F662" t="s">
        <v>651</v>
      </c>
      <c r="G662" t="s">
        <v>118</v>
      </c>
      <c r="H662" t="s">
        <v>117</v>
      </c>
      <c r="I662">
        <v>0.985878881855901</v>
      </c>
      <c r="K662">
        <v>3</v>
      </c>
      <c r="M662">
        <v>500</v>
      </c>
      <c r="N662" t="s">
        <v>107</v>
      </c>
      <c r="O662" t="s">
        <v>650</v>
      </c>
      <c r="P662">
        <v>14096</v>
      </c>
      <c r="Q662">
        <v>25799</v>
      </c>
      <c r="R662" t="s">
        <v>649</v>
      </c>
      <c r="S662" t="s">
        <v>648</v>
      </c>
    </row>
    <row r="663" spans="1:19" x14ac:dyDescent="0.2">
      <c r="A663" t="s">
        <v>647</v>
      </c>
      <c r="B663" t="s">
        <v>646</v>
      </c>
      <c r="C663">
        <v>24</v>
      </c>
      <c r="D663" t="s">
        <v>120</v>
      </c>
      <c r="E663">
        <v>0</v>
      </c>
      <c r="F663" t="s">
        <v>645</v>
      </c>
      <c r="G663" t="s">
        <v>118</v>
      </c>
      <c r="H663" t="s">
        <v>117</v>
      </c>
      <c r="I663">
        <v>0.89442721871111897</v>
      </c>
      <c r="K663">
        <v>3</v>
      </c>
      <c r="M663">
        <v>496</v>
      </c>
      <c r="N663" t="s">
        <v>107</v>
      </c>
      <c r="O663" t="s">
        <v>644</v>
      </c>
      <c r="P663">
        <v>11628</v>
      </c>
      <c r="Q663">
        <v>6940</v>
      </c>
      <c r="R663" t="s">
        <v>643</v>
      </c>
      <c r="S663" t="s">
        <v>642</v>
      </c>
    </row>
    <row r="664" spans="1:19" x14ac:dyDescent="0.2">
      <c r="A664" t="s">
        <v>641</v>
      </c>
      <c r="B664" t="s">
        <v>640</v>
      </c>
      <c r="C664">
        <v>13</v>
      </c>
      <c r="D664" t="s">
        <v>111</v>
      </c>
      <c r="E664">
        <v>0</v>
      </c>
      <c r="F664" t="s">
        <v>639</v>
      </c>
      <c r="G664" t="s">
        <v>109</v>
      </c>
      <c r="H664" t="s">
        <v>108</v>
      </c>
      <c r="M664">
        <v>4698</v>
      </c>
      <c r="N664" t="s">
        <v>638</v>
      </c>
      <c r="O664" t="s">
        <v>637</v>
      </c>
      <c r="P664">
        <v>447</v>
      </c>
      <c r="Q664">
        <v>9189</v>
      </c>
      <c r="R664" t="s">
        <v>636</v>
      </c>
      <c r="S664" t="s">
        <v>635</v>
      </c>
    </row>
    <row r="665" spans="1:19" x14ac:dyDescent="0.2">
      <c r="A665" t="s">
        <v>634</v>
      </c>
      <c r="B665" t="s">
        <v>633</v>
      </c>
      <c r="C665">
        <v>9</v>
      </c>
      <c r="D665" t="s">
        <v>120</v>
      </c>
      <c r="E665">
        <v>0</v>
      </c>
      <c r="F665" t="s">
        <v>632</v>
      </c>
      <c r="G665" t="s">
        <v>118</v>
      </c>
      <c r="H665" t="s">
        <v>117</v>
      </c>
      <c r="I665">
        <v>0.81224905091687605</v>
      </c>
      <c r="K665">
        <v>3</v>
      </c>
      <c r="M665">
        <v>481</v>
      </c>
      <c r="N665" t="s">
        <v>107</v>
      </c>
      <c r="O665" t="s">
        <v>125</v>
      </c>
      <c r="P665">
        <v>12860</v>
      </c>
      <c r="Q665">
        <v>7541</v>
      </c>
      <c r="R665" t="s">
        <v>631</v>
      </c>
      <c r="S665" t="s">
        <v>630</v>
      </c>
    </row>
    <row r="666" spans="1:19" x14ac:dyDescent="0.2">
      <c r="A666" t="s">
        <v>629</v>
      </c>
      <c r="B666" t="s">
        <v>628</v>
      </c>
      <c r="C666">
        <v>19</v>
      </c>
      <c r="D666" t="s">
        <v>363</v>
      </c>
      <c r="E666">
        <v>0</v>
      </c>
      <c r="F666" t="s">
        <v>627</v>
      </c>
      <c r="G666" t="s">
        <v>118</v>
      </c>
      <c r="H666" t="s">
        <v>117</v>
      </c>
      <c r="I666">
        <v>0.95941500043791506</v>
      </c>
      <c r="J666">
        <v>0.91127633470589997</v>
      </c>
      <c r="K666">
        <v>21</v>
      </c>
      <c r="L666">
        <v>25</v>
      </c>
      <c r="M666">
        <v>513</v>
      </c>
      <c r="N666" t="s">
        <v>137</v>
      </c>
      <c r="O666" t="s">
        <v>136</v>
      </c>
      <c r="P666">
        <v>12936</v>
      </c>
      <c r="Q666">
        <v>7709</v>
      </c>
      <c r="R666" t="s">
        <v>626</v>
      </c>
      <c r="S666" t="s">
        <v>625</v>
      </c>
    </row>
    <row r="667" spans="1:19" x14ac:dyDescent="0.2">
      <c r="A667" t="s">
        <v>624</v>
      </c>
      <c r="B667" t="s">
        <v>623</v>
      </c>
      <c r="C667">
        <v>11</v>
      </c>
      <c r="D667" t="s">
        <v>120</v>
      </c>
      <c r="E667">
        <v>0</v>
      </c>
      <c r="F667" t="s">
        <v>622</v>
      </c>
      <c r="G667" t="s">
        <v>118</v>
      </c>
      <c r="H667" t="s">
        <v>117</v>
      </c>
      <c r="I667">
        <v>0.886016263377288</v>
      </c>
      <c r="K667">
        <v>4</v>
      </c>
      <c r="M667">
        <v>500</v>
      </c>
      <c r="N667" t="s">
        <v>107</v>
      </c>
      <c r="O667" t="s">
        <v>621</v>
      </c>
      <c r="P667">
        <v>13030</v>
      </c>
      <c r="Q667">
        <v>10472</v>
      </c>
      <c r="R667" t="s">
        <v>620</v>
      </c>
      <c r="S667" t="s">
        <v>619</v>
      </c>
    </row>
    <row r="668" spans="1:19" x14ac:dyDescent="0.2">
      <c r="A668" t="s">
        <v>618</v>
      </c>
      <c r="B668" t="s">
        <v>617</v>
      </c>
      <c r="C668">
        <v>12</v>
      </c>
      <c r="D668" t="s">
        <v>120</v>
      </c>
      <c r="E668">
        <v>0</v>
      </c>
      <c r="F668" t="s">
        <v>616</v>
      </c>
      <c r="G668" t="s">
        <v>118</v>
      </c>
      <c r="H668" t="s">
        <v>117</v>
      </c>
      <c r="I668">
        <v>0.885365646389355</v>
      </c>
      <c r="K668">
        <v>2</v>
      </c>
      <c r="M668">
        <v>501</v>
      </c>
      <c r="N668" t="s">
        <v>107</v>
      </c>
      <c r="O668" t="s">
        <v>125</v>
      </c>
      <c r="P668">
        <v>4930</v>
      </c>
      <c r="Q668">
        <v>3104</v>
      </c>
      <c r="R668" t="s">
        <v>615</v>
      </c>
      <c r="S668" t="s">
        <v>614</v>
      </c>
    </row>
    <row r="669" spans="1:19" x14ac:dyDescent="0.2">
      <c r="A669" t="s">
        <v>613</v>
      </c>
      <c r="B669" t="s">
        <v>612</v>
      </c>
      <c r="C669">
        <v>11</v>
      </c>
      <c r="D669" t="s">
        <v>111</v>
      </c>
      <c r="E669">
        <v>0</v>
      </c>
      <c r="F669" t="s">
        <v>611</v>
      </c>
      <c r="G669" t="s">
        <v>109</v>
      </c>
      <c r="H669" t="s">
        <v>108</v>
      </c>
      <c r="M669">
        <v>1382</v>
      </c>
      <c r="N669" t="s">
        <v>107</v>
      </c>
      <c r="O669" t="s">
        <v>125</v>
      </c>
      <c r="P669">
        <v>19883</v>
      </c>
      <c r="Q669">
        <v>166793</v>
      </c>
      <c r="R669" t="s">
        <v>610</v>
      </c>
      <c r="S669" t="s">
        <v>609</v>
      </c>
    </row>
    <row r="670" spans="1:19" x14ac:dyDescent="0.2">
      <c r="A670" t="s">
        <v>608</v>
      </c>
      <c r="B670" t="s">
        <v>27</v>
      </c>
      <c r="C670">
        <v>9</v>
      </c>
      <c r="D670" t="s">
        <v>363</v>
      </c>
      <c r="E670">
        <v>0</v>
      </c>
      <c r="F670" t="s">
        <v>607</v>
      </c>
      <c r="G670" t="s">
        <v>118</v>
      </c>
      <c r="H670" t="s">
        <v>117</v>
      </c>
      <c r="I670">
        <v>0.92929220509522303</v>
      </c>
      <c r="K670">
        <v>12</v>
      </c>
      <c r="M670">
        <v>500</v>
      </c>
      <c r="N670" t="s">
        <v>107</v>
      </c>
      <c r="O670" t="s">
        <v>601</v>
      </c>
      <c r="P670">
        <v>18078</v>
      </c>
      <c r="Q670">
        <v>51341</v>
      </c>
      <c r="R670" t="s">
        <v>606</v>
      </c>
      <c r="S670" t="s">
        <v>605</v>
      </c>
    </row>
    <row r="671" spans="1:19" x14ac:dyDescent="0.2">
      <c r="A671" t="s">
        <v>604</v>
      </c>
      <c r="B671" t="s">
        <v>603</v>
      </c>
      <c r="C671">
        <v>21</v>
      </c>
      <c r="D671" t="s">
        <v>111</v>
      </c>
      <c r="E671">
        <v>0</v>
      </c>
      <c r="F671" t="s">
        <v>602</v>
      </c>
      <c r="G671" t="s">
        <v>109</v>
      </c>
      <c r="H671" t="s">
        <v>117</v>
      </c>
      <c r="M671">
        <v>405</v>
      </c>
      <c r="N671" t="s">
        <v>107</v>
      </c>
      <c r="O671" t="s">
        <v>601</v>
      </c>
      <c r="P671">
        <v>18668</v>
      </c>
      <c r="Q671">
        <v>51043</v>
      </c>
      <c r="R671" t="s">
        <v>600</v>
      </c>
      <c r="S671" t="s">
        <v>599</v>
      </c>
    </row>
    <row r="672" spans="1:19" x14ac:dyDescent="0.2">
      <c r="A672" t="s">
        <v>598</v>
      </c>
      <c r="B672" t="s">
        <v>595</v>
      </c>
      <c r="C672">
        <v>17</v>
      </c>
      <c r="D672" t="s">
        <v>111</v>
      </c>
      <c r="E672">
        <v>0</v>
      </c>
      <c r="F672" t="s">
        <v>597</v>
      </c>
      <c r="G672" t="s">
        <v>229</v>
      </c>
      <c r="H672" t="s">
        <v>228</v>
      </c>
      <c r="M672">
        <v>19</v>
      </c>
      <c r="N672" t="s">
        <v>137</v>
      </c>
      <c r="O672" t="s">
        <v>136</v>
      </c>
      <c r="P672">
        <v>23847</v>
      </c>
      <c r="Q672">
        <v>57659</v>
      </c>
      <c r="R672" t="s">
        <v>593</v>
      </c>
      <c r="S672" t="s">
        <v>592</v>
      </c>
    </row>
    <row r="673" spans="1:19" x14ac:dyDescent="0.2">
      <c r="A673" t="s">
        <v>596</v>
      </c>
      <c r="B673" t="s">
        <v>595</v>
      </c>
      <c r="C673">
        <v>15</v>
      </c>
      <c r="D673" t="s">
        <v>111</v>
      </c>
      <c r="E673">
        <v>1</v>
      </c>
      <c r="F673" t="s">
        <v>594</v>
      </c>
      <c r="G673" t="s">
        <v>229</v>
      </c>
      <c r="H673" t="s">
        <v>228</v>
      </c>
      <c r="M673">
        <v>32</v>
      </c>
      <c r="N673" t="s">
        <v>137</v>
      </c>
      <c r="O673" t="s">
        <v>136</v>
      </c>
      <c r="P673">
        <v>23847</v>
      </c>
      <c r="Q673">
        <v>57659</v>
      </c>
      <c r="R673" t="s">
        <v>593</v>
      </c>
      <c r="S673" t="s">
        <v>592</v>
      </c>
    </row>
    <row r="674" spans="1:19" x14ac:dyDescent="0.2">
      <c r="A674" t="s">
        <v>591</v>
      </c>
      <c r="B674" t="s">
        <v>590</v>
      </c>
      <c r="C674">
        <v>13</v>
      </c>
      <c r="D674" t="s">
        <v>120</v>
      </c>
      <c r="E674">
        <v>0</v>
      </c>
      <c r="F674" t="s">
        <v>589</v>
      </c>
      <c r="G674" t="s">
        <v>118</v>
      </c>
      <c r="H674" t="s">
        <v>117</v>
      </c>
      <c r="I674">
        <v>0.88421037420742299</v>
      </c>
      <c r="K674">
        <v>2</v>
      </c>
      <c r="M674">
        <v>457</v>
      </c>
      <c r="N674" t="s">
        <v>107</v>
      </c>
      <c r="O674" t="s">
        <v>588</v>
      </c>
      <c r="P674">
        <v>16764</v>
      </c>
      <c r="Q674">
        <v>10773</v>
      </c>
      <c r="R674" t="s">
        <v>587</v>
      </c>
      <c r="S674" t="s">
        <v>586</v>
      </c>
    </row>
    <row r="675" spans="1:19" x14ac:dyDescent="0.2">
      <c r="A675" t="s">
        <v>585</v>
      </c>
      <c r="B675" t="s">
        <v>584</v>
      </c>
      <c r="C675">
        <v>10</v>
      </c>
      <c r="D675" t="s">
        <v>363</v>
      </c>
      <c r="E675">
        <v>0</v>
      </c>
      <c r="F675" t="s">
        <v>583</v>
      </c>
      <c r="G675" t="s">
        <v>118</v>
      </c>
      <c r="H675" t="s">
        <v>117</v>
      </c>
      <c r="I675">
        <v>0.93770258868078904</v>
      </c>
      <c r="K675">
        <v>12</v>
      </c>
      <c r="M675">
        <v>500</v>
      </c>
      <c r="N675" t="s">
        <v>560</v>
      </c>
      <c r="O675" t="s">
        <v>582</v>
      </c>
      <c r="P675">
        <v>11642</v>
      </c>
      <c r="Q675">
        <v>6935</v>
      </c>
      <c r="R675" t="s">
        <v>581</v>
      </c>
      <c r="S675" t="s">
        <v>580</v>
      </c>
    </row>
    <row r="676" spans="1:19" x14ac:dyDescent="0.2">
      <c r="A676" t="s">
        <v>579</v>
      </c>
      <c r="B676" t="s">
        <v>578</v>
      </c>
      <c r="C676">
        <v>12</v>
      </c>
      <c r="D676" t="s">
        <v>111</v>
      </c>
      <c r="E676">
        <v>0</v>
      </c>
      <c r="F676" t="s">
        <v>577</v>
      </c>
      <c r="G676" t="s">
        <v>229</v>
      </c>
      <c r="H676" t="s">
        <v>228</v>
      </c>
      <c r="M676">
        <v>10</v>
      </c>
      <c r="N676" t="s">
        <v>137</v>
      </c>
      <c r="O676" t="s">
        <v>571</v>
      </c>
      <c r="P676">
        <v>4920</v>
      </c>
      <c r="Q676">
        <v>3096</v>
      </c>
      <c r="R676" t="s">
        <v>576</v>
      </c>
      <c r="S676" t="s">
        <v>575</v>
      </c>
    </row>
    <row r="677" spans="1:19" x14ac:dyDescent="0.2">
      <c r="A677" t="s">
        <v>574</v>
      </c>
      <c r="B677" t="s">
        <v>573</v>
      </c>
      <c r="C677">
        <v>14</v>
      </c>
      <c r="D677" t="s">
        <v>111</v>
      </c>
      <c r="E677">
        <v>0</v>
      </c>
      <c r="F677" t="s">
        <v>572</v>
      </c>
      <c r="G677" t="s">
        <v>229</v>
      </c>
      <c r="H677" t="s">
        <v>228</v>
      </c>
      <c r="M677">
        <v>16</v>
      </c>
      <c r="N677" t="s">
        <v>137</v>
      </c>
      <c r="O677" t="s">
        <v>571</v>
      </c>
      <c r="P677">
        <v>4921</v>
      </c>
      <c r="Q677">
        <v>3097</v>
      </c>
      <c r="R677" t="s">
        <v>570</v>
      </c>
      <c r="S677" t="s">
        <v>569</v>
      </c>
    </row>
    <row r="678" spans="1:19" x14ac:dyDescent="0.2">
      <c r="A678" t="s">
        <v>568</v>
      </c>
      <c r="B678" t="s">
        <v>567</v>
      </c>
      <c r="C678">
        <v>16</v>
      </c>
      <c r="D678" t="s">
        <v>111</v>
      </c>
      <c r="E678">
        <v>0</v>
      </c>
      <c r="F678" t="s">
        <v>566</v>
      </c>
      <c r="G678" t="s">
        <v>118</v>
      </c>
      <c r="H678" t="s">
        <v>117</v>
      </c>
      <c r="I678">
        <v>0.78484788337646305</v>
      </c>
      <c r="K678">
        <v>2</v>
      </c>
      <c r="M678">
        <v>483</v>
      </c>
      <c r="N678" t="s">
        <v>107</v>
      </c>
      <c r="O678" t="s">
        <v>125</v>
      </c>
      <c r="P678">
        <v>15940</v>
      </c>
      <c r="Q678">
        <v>55734</v>
      </c>
      <c r="R678" t="s">
        <v>565</v>
      </c>
      <c r="S678" t="s">
        <v>564</v>
      </c>
    </row>
    <row r="679" spans="1:19" x14ac:dyDescent="0.2">
      <c r="A679" t="s">
        <v>563</v>
      </c>
      <c r="B679" t="s">
        <v>562</v>
      </c>
      <c r="C679">
        <v>11</v>
      </c>
      <c r="D679" t="s">
        <v>111</v>
      </c>
      <c r="E679">
        <v>0</v>
      </c>
      <c r="F679" t="s">
        <v>561</v>
      </c>
      <c r="G679" t="s">
        <v>229</v>
      </c>
      <c r="H679" t="s">
        <v>228</v>
      </c>
      <c r="M679">
        <v>7</v>
      </c>
      <c r="N679" t="s">
        <v>560</v>
      </c>
      <c r="O679" t="s">
        <v>559</v>
      </c>
      <c r="P679">
        <v>777</v>
      </c>
      <c r="Q679">
        <v>463</v>
      </c>
      <c r="R679" t="s">
        <v>558</v>
      </c>
      <c r="S679" t="s">
        <v>557</v>
      </c>
    </row>
    <row r="680" spans="1:19" x14ac:dyDescent="0.2">
      <c r="A680" t="s">
        <v>556</v>
      </c>
      <c r="B680" t="s">
        <v>555</v>
      </c>
      <c r="C680">
        <v>20</v>
      </c>
      <c r="D680" t="s">
        <v>120</v>
      </c>
      <c r="E680">
        <v>0</v>
      </c>
      <c r="F680" t="s">
        <v>554</v>
      </c>
      <c r="G680" t="s">
        <v>118</v>
      </c>
      <c r="H680" t="s">
        <v>117</v>
      </c>
      <c r="I680">
        <v>0.992688083458242</v>
      </c>
      <c r="K680">
        <v>3</v>
      </c>
      <c r="M680">
        <v>417</v>
      </c>
      <c r="N680" t="s">
        <v>107</v>
      </c>
      <c r="O680" t="s">
        <v>125</v>
      </c>
      <c r="P680">
        <v>17801</v>
      </c>
      <c r="Q680">
        <v>140612</v>
      </c>
      <c r="R680" t="s">
        <v>553</v>
      </c>
      <c r="S680" t="s">
        <v>552</v>
      </c>
    </row>
    <row r="681" spans="1:19" x14ac:dyDescent="0.2">
      <c r="A681" t="s">
        <v>551</v>
      </c>
      <c r="B681" t="s">
        <v>550</v>
      </c>
      <c r="C681">
        <v>12</v>
      </c>
      <c r="D681" t="s">
        <v>363</v>
      </c>
      <c r="E681">
        <v>0</v>
      </c>
      <c r="F681" t="s">
        <v>549</v>
      </c>
      <c r="G681" t="s">
        <v>118</v>
      </c>
      <c r="H681" t="s">
        <v>117</v>
      </c>
      <c r="I681">
        <v>0.90947444812383904</v>
      </c>
      <c r="J681">
        <v>0.80021747134880195</v>
      </c>
      <c r="K681">
        <v>3</v>
      </c>
      <c r="L681">
        <v>2</v>
      </c>
      <c r="M681">
        <v>500</v>
      </c>
      <c r="N681" t="s">
        <v>107</v>
      </c>
      <c r="O681" t="s">
        <v>548</v>
      </c>
      <c r="P681">
        <v>30949</v>
      </c>
      <c r="Q681">
        <v>132625</v>
      </c>
      <c r="R681" t="s">
        <v>547</v>
      </c>
      <c r="S681" t="s">
        <v>546</v>
      </c>
    </row>
    <row r="682" spans="1:19" x14ac:dyDescent="0.2">
      <c r="A682" t="s">
        <v>545</v>
      </c>
      <c r="B682" t="s">
        <v>544</v>
      </c>
      <c r="C682">
        <v>24</v>
      </c>
      <c r="D682" t="s">
        <v>120</v>
      </c>
      <c r="E682">
        <v>0</v>
      </c>
      <c r="F682" t="s">
        <v>543</v>
      </c>
      <c r="G682" t="s">
        <v>118</v>
      </c>
      <c r="H682" t="s">
        <v>117</v>
      </c>
      <c r="I682">
        <v>0.930153782415021</v>
      </c>
      <c r="K682">
        <v>3</v>
      </c>
      <c r="M682">
        <v>500</v>
      </c>
      <c r="N682" t="s">
        <v>107</v>
      </c>
      <c r="O682" t="s">
        <v>542</v>
      </c>
      <c r="P682">
        <v>28682</v>
      </c>
      <c r="Q682">
        <v>284406</v>
      </c>
      <c r="R682" t="s">
        <v>541</v>
      </c>
      <c r="S682" t="s">
        <v>540</v>
      </c>
    </row>
    <row r="683" spans="1:19" x14ac:dyDescent="0.2">
      <c r="A683" t="s">
        <v>539</v>
      </c>
      <c r="B683" t="s">
        <v>536</v>
      </c>
      <c r="C683">
        <v>10</v>
      </c>
      <c r="D683" t="s">
        <v>363</v>
      </c>
      <c r="E683">
        <v>0</v>
      </c>
      <c r="F683" t="s">
        <v>538</v>
      </c>
      <c r="G683" t="s">
        <v>118</v>
      </c>
      <c r="H683" t="s">
        <v>117</v>
      </c>
      <c r="I683">
        <v>0.82651920305951698</v>
      </c>
      <c r="J683">
        <v>0.99094036339591696</v>
      </c>
      <c r="K683">
        <v>10</v>
      </c>
      <c r="L683">
        <v>4</v>
      </c>
      <c r="M683">
        <v>492</v>
      </c>
      <c r="N683" t="s">
        <v>107</v>
      </c>
      <c r="O683" t="s">
        <v>534</v>
      </c>
      <c r="P683">
        <v>12869</v>
      </c>
      <c r="Q683">
        <v>7543</v>
      </c>
      <c r="R683" t="s">
        <v>533</v>
      </c>
      <c r="S683" t="s">
        <v>532</v>
      </c>
    </row>
    <row r="684" spans="1:19" x14ac:dyDescent="0.2">
      <c r="A684" t="s">
        <v>537</v>
      </c>
      <c r="B684" t="s">
        <v>536</v>
      </c>
      <c r="C684">
        <v>17</v>
      </c>
      <c r="D684" t="s">
        <v>363</v>
      </c>
      <c r="E684">
        <v>1</v>
      </c>
      <c r="F684" t="s">
        <v>535</v>
      </c>
      <c r="G684" t="s">
        <v>118</v>
      </c>
      <c r="H684" t="s">
        <v>117</v>
      </c>
      <c r="I684">
        <v>0.80749241459244403</v>
      </c>
      <c r="J684">
        <v>0.95669118730876301</v>
      </c>
      <c r="K684">
        <v>10</v>
      </c>
      <c r="L684">
        <v>4</v>
      </c>
      <c r="M684">
        <v>495</v>
      </c>
      <c r="N684" t="s">
        <v>107</v>
      </c>
      <c r="O684" t="s">
        <v>534</v>
      </c>
      <c r="P684">
        <v>12869</v>
      </c>
      <c r="Q684">
        <v>7543</v>
      </c>
      <c r="R684" t="s">
        <v>533</v>
      </c>
      <c r="S684" t="s">
        <v>532</v>
      </c>
    </row>
    <row r="685" spans="1:19" x14ac:dyDescent="0.2">
      <c r="A685" t="s">
        <v>531</v>
      </c>
      <c r="B685" t="s">
        <v>530</v>
      </c>
      <c r="C685">
        <v>9</v>
      </c>
      <c r="D685" t="s">
        <v>388</v>
      </c>
      <c r="E685">
        <v>0</v>
      </c>
      <c r="F685" t="s">
        <v>529</v>
      </c>
      <c r="G685" t="s">
        <v>229</v>
      </c>
      <c r="H685" t="s">
        <v>228</v>
      </c>
      <c r="M685">
        <v>34</v>
      </c>
      <c r="N685" t="s">
        <v>107</v>
      </c>
      <c r="O685" t="s">
        <v>514</v>
      </c>
      <c r="P685">
        <v>12872</v>
      </c>
      <c r="Q685">
        <v>7545</v>
      </c>
      <c r="R685" t="s">
        <v>528</v>
      </c>
      <c r="S685" t="s">
        <v>527</v>
      </c>
    </row>
    <row r="686" spans="1:19" x14ac:dyDescent="0.2">
      <c r="A686" t="s">
        <v>526</v>
      </c>
      <c r="B686" t="s">
        <v>37</v>
      </c>
      <c r="C686">
        <v>15</v>
      </c>
      <c r="D686" t="s">
        <v>111</v>
      </c>
      <c r="E686">
        <v>0</v>
      </c>
      <c r="F686" t="s">
        <v>525</v>
      </c>
      <c r="G686" t="s">
        <v>118</v>
      </c>
      <c r="H686" t="s">
        <v>117</v>
      </c>
      <c r="I686">
        <v>0.54448400100876404</v>
      </c>
      <c r="J686">
        <v>0.976654754376722</v>
      </c>
      <c r="K686">
        <v>4</v>
      </c>
      <c r="L686">
        <v>4</v>
      </c>
      <c r="M686">
        <v>410</v>
      </c>
      <c r="N686" t="s">
        <v>107</v>
      </c>
      <c r="O686" t="s">
        <v>514</v>
      </c>
      <c r="P686">
        <v>12873</v>
      </c>
      <c r="Q686">
        <v>7546</v>
      </c>
      <c r="R686" t="s">
        <v>524</v>
      </c>
      <c r="S686" t="s">
        <v>523</v>
      </c>
    </row>
    <row r="687" spans="1:19" x14ac:dyDescent="0.2">
      <c r="A687" t="s">
        <v>522</v>
      </c>
      <c r="B687" t="s">
        <v>521</v>
      </c>
      <c r="C687">
        <v>15</v>
      </c>
      <c r="D687" t="s">
        <v>388</v>
      </c>
      <c r="E687">
        <v>0</v>
      </c>
      <c r="F687" t="s">
        <v>520</v>
      </c>
      <c r="G687" t="s">
        <v>118</v>
      </c>
      <c r="H687" t="s">
        <v>117</v>
      </c>
      <c r="J687">
        <v>0.94345764141159105</v>
      </c>
      <c r="L687">
        <v>5</v>
      </c>
      <c r="M687">
        <v>170</v>
      </c>
      <c r="N687" t="s">
        <v>107</v>
      </c>
      <c r="O687" t="s">
        <v>514</v>
      </c>
      <c r="P687">
        <v>12874</v>
      </c>
      <c r="Q687">
        <v>7547</v>
      </c>
      <c r="R687" t="s">
        <v>519</v>
      </c>
      <c r="S687" t="s">
        <v>518</v>
      </c>
    </row>
    <row r="688" spans="1:19" x14ac:dyDescent="0.2">
      <c r="A688" t="s">
        <v>517</v>
      </c>
      <c r="B688" t="s">
        <v>516</v>
      </c>
      <c r="C688">
        <v>15</v>
      </c>
      <c r="D688" t="s">
        <v>111</v>
      </c>
      <c r="E688">
        <v>0</v>
      </c>
      <c r="F688" t="s">
        <v>515</v>
      </c>
      <c r="G688" t="s">
        <v>109</v>
      </c>
      <c r="H688" t="s">
        <v>108</v>
      </c>
      <c r="M688">
        <v>4313</v>
      </c>
      <c r="N688" t="s">
        <v>107</v>
      </c>
      <c r="O688" t="s">
        <v>514</v>
      </c>
      <c r="P688">
        <v>20393</v>
      </c>
      <c r="Q688">
        <v>84107</v>
      </c>
      <c r="R688" t="s">
        <v>513</v>
      </c>
      <c r="S688" t="s">
        <v>512</v>
      </c>
    </row>
    <row r="689" spans="1:19" x14ac:dyDescent="0.2">
      <c r="A689" t="s">
        <v>511</v>
      </c>
      <c r="B689" t="s">
        <v>510</v>
      </c>
      <c r="C689">
        <v>19</v>
      </c>
      <c r="D689" t="s">
        <v>120</v>
      </c>
      <c r="E689">
        <v>0</v>
      </c>
      <c r="F689" t="s">
        <v>509</v>
      </c>
      <c r="G689" t="s">
        <v>118</v>
      </c>
      <c r="H689" t="s">
        <v>117</v>
      </c>
      <c r="I689">
        <v>0.98915350532834201</v>
      </c>
      <c r="K689">
        <v>3</v>
      </c>
      <c r="M689">
        <v>471</v>
      </c>
      <c r="N689" t="s">
        <v>107</v>
      </c>
      <c r="O689" t="s">
        <v>125</v>
      </c>
      <c r="P689">
        <v>16366</v>
      </c>
      <c r="Q689">
        <v>114026</v>
      </c>
      <c r="R689" t="s">
        <v>508</v>
      </c>
      <c r="S689" t="s">
        <v>507</v>
      </c>
    </row>
    <row r="690" spans="1:19" x14ac:dyDescent="0.2">
      <c r="A690" t="s">
        <v>506</v>
      </c>
      <c r="B690" t="s">
        <v>505</v>
      </c>
      <c r="C690">
        <v>19</v>
      </c>
      <c r="D690" t="s">
        <v>388</v>
      </c>
      <c r="E690">
        <v>0</v>
      </c>
      <c r="F690" t="s">
        <v>504</v>
      </c>
      <c r="G690" t="s">
        <v>118</v>
      </c>
      <c r="H690" t="s">
        <v>117</v>
      </c>
      <c r="J690">
        <v>0.96053362110382801</v>
      </c>
      <c r="L690">
        <v>6</v>
      </c>
      <c r="M690">
        <v>500</v>
      </c>
      <c r="N690" t="s">
        <v>107</v>
      </c>
      <c r="O690" t="s">
        <v>116</v>
      </c>
      <c r="P690">
        <v>13101</v>
      </c>
      <c r="Q690">
        <v>7586</v>
      </c>
      <c r="R690" t="s">
        <v>503</v>
      </c>
      <c r="S690" t="s">
        <v>502</v>
      </c>
    </row>
    <row r="691" spans="1:19" x14ac:dyDescent="0.2">
      <c r="A691" t="s">
        <v>501</v>
      </c>
      <c r="B691" t="s">
        <v>500</v>
      </c>
      <c r="C691">
        <v>11</v>
      </c>
      <c r="D691" t="s">
        <v>111</v>
      </c>
      <c r="E691">
        <v>0</v>
      </c>
      <c r="F691" t="s">
        <v>499</v>
      </c>
      <c r="G691" t="s">
        <v>109</v>
      </c>
      <c r="H691" t="s">
        <v>108</v>
      </c>
      <c r="M691">
        <v>138</v>
      </c>
      <c r="N691" t="s">
        <v>107</v>
      </c>
      <c r="O691" t="s">
        <v>498</v>
      </c>
      <c r="P691">
        <v>13853</v>
      </c>
      <c r="Q691">
        <v>80317</v>
      </c>
      <c r="R691" t="s">
        <v>497</v>
      </c>
      <c r="S691" t="s">
        <v>496</v>
      </c>
    </row>
    <row r="692" spans="1:19" x14ac:dyDescent="0.2">
      <c r="A692" t="s">
        <v>495</v>
      </c>
      <c r="B692" t="s">
        <v>494</v>
      </c>
      <c r="C692">
        <v>20</v>
      </c>
      <c r="D692" t="s">
        <v>120</v>
      </c>
      <c r="E692">
        <v>0</v>
      </c>
      <c r="F692" t="s">
        <v>493</v>
      </c>
      <c r="G692" t="s">
        <v>118</v>
      </c>
      <c r="H692" t="s">
        <v>117</v>
      </c>
      <c r="I692">
        <v>0.91990072230671105</v>
      </c>
      <c r="K692">
        <v>2</v>
      </c>
      <c r="M692">
        <v>486</v>
      </c>
      <c r="N692" t="s">
        <v>107</v>
      </c>
      <c r="O692" t="s">
        <v>125</v>
      </c>
      <c r="P692">
        <v>12904</v>
      </c>
      <c r="Q692">
        <v>7675</v>
      </c>
      <c r="R692" t="s">
        <v>492</v>
      </c>
      <c r="S692" t="s">
        <v>491</v>
      </c>
    </row>
    <row r="693" spans="1:19" x14ac:dyDescent="0.2">
      <c r="A693" t="s">
        <v>490</v>
      </c>
      <c r="B693" t="s">
        <v>487</v>
      </c>
      <c r="C693">
        <v>22</v>
      </c>
      <c r="D693" t="s">
        <v>120</v>
      </c>
      <c r="E693">
        <v>0</v>
      </c>
      <c r="F693" t="s">
        <v>489</v>
      </c>
      <c r="G693" t="s">
        <v>118</v>
      </c>
      <c r="H693" t="s">
        <v>117</v>
      </c>
      <c r="I693">
        <v>0.92338509539341296</v>
      </c>
      <c r="K693">
        <v>4</v>
      </c>
      <c r="M693">
        <v>500</v>
      </c>
      <c r="N693" t="s">
        <v>137</v>
      </c>
      <c r="O693" t="s">
        <v>485</v>
      </c>
      <c r="P693">
        <v>12918</v>
      </c>
      <c r="Q693">
        <v>7693</v>
      </c>
      <c r="R693" t="s">
        <v>484</v>
      </c>
      <c r="S693" t="s">
        <v>483</v>
      </c>
    </row>
    <row r="694" spans="1:19" x14ac:dyDescent="0.2">
      <c r="A694" t="s">
        <v>488</v>
      </c>
      <c r="B694" t="s">
        <v>487</v>
      </c>
      <c r="C694">
        <v>17</v>
      </c>
      <c r="D694" t="s">
        <v>120</v>
      </c>
      <c r="E694">
        <v>1</v>
      </c>
      <c r="F694" t="s">
        <v>486</v>
      </c>
      <c r="G694" t="s">
        <v>118</v>
      </c>
      <c r="H694" t="s">
        <v>117</v>
      </c>
      <c r="I694">
        <v>0.92958548784500905</v>
      </c>
      <c r="K694">
        <v>4</v>
      </c>
      <c r="M694">
        <v>500</v>
      </c>
      <c r="N694" t="s">
        <v>137</v>
      </c>
      <c r="O694" t="s">
        <v>485</v>
      </c>
      <c r="P694">
        <v>12918</v>
      </c>
      <c r="Q694">
        <v>7693</v>
      </c>
      <c r="R694" t="s">
        <v>484</v>
      </c>
      <c r="S694" t="s">
        <v>483</v>
      </c>
    </row>
    <row r="695" spans="1:19" x14ac:dyDescent="0.2">
      <c r="A695" t="s">
        <v>482</v>
      </c>
      <c r="B695" t="s">
        <v>481</v>
      </c>
      <c r="C695">
        <v>24</v>
      </c>
      <c r="D695" t="s">
        <v>120</v>
      </c>
      <c r="E695">
        <v>0</v>
      </c>
      <c r="F695" t="s">
        <v>480</v>
      </c>
      <c r="G695" t="s">
        <v>118</v>
      </c>
      <c r="H695" t="s">
        <v>117</v>
      </c>
      <c r="I695">
        <v>0.90721999168283796</v>
      </c>
      <c r="K695">
        <v>3</v>
      </c>
      <c r="M695">
        <v>365</v>
      </c>
      <c r="N695" t="s">
        <v>107</v>
      </c>
      <c r="O695" t="s">
        <v>246</v>
      </c>
      <c r="P695">
        <v>12920</v>
      </c>
      <c r="Q695">
        <v>7695</v>
      </c>
      <c r="R695" t="s">
        <v>479</v>
      </c>
      <c r="S695" t="s">
        <v>478</v>
      </c>
    </row>
    <row r="696" spans="1:19" x14ac:dyDescent="0.2">
      <c r="A696" t="s">
        <v>477</v>
      </c>
      <c r="B696" t="s">
        <v>476</v>
      </c>
      <c r="C696">
        <v>24</v>
      </c>
      <c r="D696" t="s">
        <v>120</v>
      </c>
      <c r="E696">
        <v>0</v>
      </c>
      <c r="F696" t="s">
        <v>475</v>
      </c>
      <c r="G696" t="s">
        <v>118</v>
      </c>
      <c r="H696" t="s">
        <v>117</v>
      </c>
      <c r="I696">
        <v>0.98362004516469603</v>
      </c>
      <c r="K696">
        <v>4</v>
      </c>
      <c r="M696">
        <v>450</v>
      </c>
      <c r="N696" t="s">
        <v>107</v>
      </c>
      <c r="O696" t="s">
        <v>474</v>
      </c>
      <c r="P696">
        <v>12925</v>
      </c>
      <c r="Q696">
        <v>7699</v>
      </c>
      <c r="R696" t="s">
        <v>473</v>
      </c>
      <c r="S696" t="s">
        <v>472</v>
      </c>
    </row>
    <row r="697" spans="1:19" x14ac:dyDescent="0.2">
      <c r="A697" t="s">
        <v>471</v>
      </c>
      <c r="B697" t="s">
        <v>70</v>
      </c>
      <c r="C697">
        <v>22</v>
      </c>
      <c r="D697" t="s">
        <v>363</v>
      </c>
      <c r="E697">
        <v>0</v>
      </c>
      <c r="F697" t="s">
        <v>470</v>
      </c>
      <c r="G697" t="s">
        <v>118</v>
      </c>
      <c r="H697" t="s">
        <v>117</v>
      </c>
      <c r="I697">
        <v>0.98606379107111797</v>
      </c>
      <c r="J697">
        <v>0.98306961320866604</v>
      </c>
      <c r="K697">
        <v>28</v>
      </c>
      <c r="L697">
        <v>9</v>
      </c>
      <c r="M697">
        <v>500</v>
      </c>
      <c r="N697" t="s">
        <v>107</v>
      </c>
      <c r="O697" t="s">
        <v>150</v>
      </c>
      <c r="P697">
        <v>12928</v>
      </c>
      <c r="Q697">
        <v>7702</v>
      </c>
      <c r="R697" t="s">
        <v>469</v>
      </c>
      <c r="S697" t="s">
        <v>468</v>
      </c>
    </row>
    <row r="698" spans="1:19" x14ac:dyDescent="0.2">
      <c r="A698" t="s">
        <v>467</v>
      </c>
      <c r="B698" t="s">
        <v>466</v>
      </c>
      <c r="C698">
        <v>15</v>
      </c>
      <c r="D698" t="s">
        <v>111</v>
      </c>
      <c r="E698">
        <v>0</v>
      </c>
      <c r="F698" t="s">
        <v>465</v>
      </c>
      <c r="G698" t="s">
        <v>229</v>
      </c>
      <c r="H698" t="s">
        <v>228</v>
      </c>
      <c r="M698">
        <v>34</v>
      </c>
      <c r="N698" t="s">
        <v>107</v>
      </c>
      <c r="O698" t="s">
        <v>408</v>
      </c>
      <c r="P698">
        <v>12933</v>
      </c>
      <c r="Q698">
        <v>7707</v>
      </c>
      <c r="R698" t="s">
        <v>464</v>
      </c>
      <c r="S698" t="s">
        <v>463</v>
      </c>
    </row>
    <row r="699" spans="1:19" x14ac:dyDescent="0.2">
      <c r="A699" t="s">
        <v>462</v>
      </c>
      <c r="B699" t="s">
        <v>461</v>
      </c>
      <c r="C699">
        <v>22</v>
      </c>
      <c r="D699" t="s">
        <v>120</v>
      </c>
      <c r="E699">
        <v>0</v>
      </c>
      <c r="F699" t="s">
        <v>460</v>
      </c>
      <c r="G699" t="s">
        <v>118</v>
      </c>
      <c r="H699" t="s">
        <v>117</v>
      </c>
      <c r="I699">
        <v>0.92634068483423104</v>
      </c>
      <c r="K699">
        <v>2</v>
      </c>
      <c r="M699">
        <v>264</v>
      </c>
      <c r="N699" t="s">
        <v>107</v>
      </c>
      <c r="O699" t="s">
        <v>459</v>
      </c>
      <c r="P699">
        <v>13006</v>
      </c>
      <c r="Q699">
        <v>7761</v>
      </c>
      <c r="R699" t="s">
        <v>458</v>
      </c>
      <c r="S699" t="s">
        <v>457</v>
      </c>
    </row>
    <row r="700" spans="1:19" x14ac:dyDescent="0.2">
      <c r="A700" t="s">
        <v>456</v>
      </c>
      <c r="B700" t="s">
        <v>455</v>
      </c>
      <c r="C700">
        <v>12</v>
      </c>
      <c r="D700" t="s">
        <v>111</v>
      </c>
      <c r="E700">
        <v>0</v>
      </c>
      <c r="F700" t="s">
        <v>454</v>
      </c>
      <c r="G700" t="s">
        <v>229</v>
      </c>
      <c r="H700" t="s">
        <v>228</v>
      </c>
      <c r="M700">
        <v>26</v>
      </c>
      <c r="N700" t="s">
        <v>137</v>
      </c>
      <c r="O700" t="s">
        <v>453</v>
      </c>
      <c r="P700">
        <v>13011</v>
      </c>
      <c r="Q700">
        <v>51222</v>
      </c>
      <c r="R700" t="s">
        <v>452</v>
      </c>
      <c r="S700" t="s">
        <v>451</v>
      </c>
    </row>
    <row r="701" spans="1:19" x14ac:dyDescent="0.2">
      <c r="A701" t="s">
        <v>450</v>
      </c>
      <c r="B701" t="s">
        <v>449</v>
      </c>
      <c r="C701">
        <v>19</v>
      </c>
      <c r="D701" t="s">
        <v>111</v>
      </c>
      <c r="E701">
        <v>0</v>
      </c>
      <c r="F701" t="s">
        <v>448</v>
      </c>
      <c r="G701" t="s">
        <v>109</v>
      </c>
      <c r="H701" t="s">
        <v>108</v>
      </c>
      <c r="M701">
        <v>50</v>
      </c>
      <c r="N701" t="s">
        <v>107</v>
      </c>
      <c r="O701" t="s">
        <v>116</v>
      </c>
      <c r="P701">
        <v>13026</v>
      </c>
      <c r="Q701">
        <v>7775</v>
      </c>
      <c r="R701" t="s">
        <v>447</v>
      </c>
      <c r="S701" t="s">
        <v>446</v>
      </c>
    </row>
    <row r="702" spans="1:19" x14ac:dyDescent="0.2">
      <c r="A702" t="s">
        <v>445</v>
      </c>
      <c r="B702" t="s">
        <v>444</v>
      </c>
      <c r="C702">
        <v>20</v>
      </c>
      <c r="D702" t="s">
        <v>120</v>
      </c>
      <c r="E702">
        <v>0</v>
      </c>
      <c r="F702" t="s">
        <v>443</v>
      </c>
      <c r="G702" t="s">
        <v>118</v>
      </c>
      <c r="H702" t="s">
        <v>117</v>
      </c>
      <c r="I702">
        <v>0.90432425918014703</v>
      </c>
      <c r="K702">
        <v>4</v>
      </c>
      <c r="M702">
        <v>360</v>
      </c>
      <c r="N702" t="s">
        <v>107</v>
      </c>
      <c r="O702" t="s">
        <v>125</v>
      </c>
      <c r="P702">
        <v>13044</v>
      </c>
      <c r="Q702">
        <v>58500</v>
      </c>
      <c r="R702" t="s">
        <v>442</v>
      </c>
      <c r="S702" t="s">
        <v>441</v>
      </c>
    </row>
    <row r="703" spans="1:19" x14ac:dyDescent="0.2">
      <c r="A703" t="s">
        <v>440</v>
      </c>
      <c r="B703" t="s">
        <v>439</v>
      </c>
      <c r="C703">
        <v>12</v>
      </c>
      <c r="D703" t="s">
        <v>120</v>
      </c>
      <c r="E703">
        <v>0</v>
      </c>
      <c r="F703" t="s">
        <v>438</v>
      </c>
      <c r="G703" t="s">
        <v>118</v>
      </c>
      <c r="H703" t="s">
        <v>117</v>
      </c>
      <c r="I703">
        <v>0.86663665747132801</v>
      </c>
      <c r="K703">
        <v>4</v>
      </c>
      <c r="M703">
        <v>432</v>
      </c>
      <c r="N703" t="s">
        <v>107</v>
      </c>
      <c r="O703" t="s">
        <v>125</v>
      </c>
      <c r="P703">
        <v>13498</v>
      </c>
      <c r="Q703">
        <v>113835</v>
      </c>
      <c r="R703" t="s">
        <v>437</v>
      </c>
      <c r="S703" t="s">
        <v>436</v>
      </c>
    </row>
    <row r="704" spans="1:19" x14ac:dyDescent="0.2">
      <c r="A704" t="s">
        <v>435</v>
      </c>
      <c r="B704" t="s">
        <v>434</v>
      </c>
      <c r="C704">
        <v>24</v>
      </c>
      <c r="D704" t="s">
        <v>120</v>
      </c>
      <c r="E704">
        <v>0</v>
      </c>
      <c r="F704" t="s">
        <v>433</v>
      </c>
      <c r="G704" t="s">
        <v>118</v>
      </c>
      <c r="H704" t="s">
        <v>117</v>
      </c>
      <c r="I704">
        <v>0.92131296455391398</v>
      </c>
      <c r="K704">
        <v>4</v>
      </c>
      <c r="M704">
        <v>443</v>
      </c>
      <c r="N704" t="s">
        <v>107</v>
      </c>
      <c r="O704" t="s">
        <v>432</v>
      </c>
      <c r="P704">
        <v>13499</v>
      </c>
      <c r="Q704">
        <v>339324</v>
      </c>
      <c r="R704" t="s">
        <v>431</v>
      </c>
      <c r="S704" t="s">
        <v>430</v>
      </c>
    </row>
    <row r="705" spans="1:19" x14ac:dyDescent="0.2">
      <c r="A705" t="s">
        <v>429</v>
      </c>
      <c r="B705" t="s">
        <v>426</v>
      </c>
      <c r="C705">
        <v>20</v>
      </c>
      <c r="D705" t="s">
        <v>363</v>
      </c>
      <c r="E705">
        <v>0</v>
      </c>
      <c r="F705" t="s">
        <v>428</v>
      </c>
      <c r="G705" t="s">
        <v>118</v>
      </c>
      <c r="H705" t="s">
        <v>117</v>
      </c>
      <c r="I705">
        <v>0.96834165058923205</v>
      </c>
      <c r="K705">
        <v>9</v>
      </c>
      <c r="M705">
        <v>501</v>
      </c>
      <c r="N705" t="s">
        <v>107</v>
      </c>
      <c r="O705" t="s">
        <v>125</v>
      </c>
      <c r="P705">
        <v>13056</v>
      </c>
      <c r="Q705">
        <v>10127</v>
      </c>
      <c r="R705" t="s">
        <v>424</v>
      </c>
      <c r="S705" t="s">
        <v>423</v>
      </c>
    </row>
    <row r="706" spans="1:19" x14ac:dyDescent="0.2">
      <c r="A706" t="s">
        <v>427</v>
      </c>
      <c r="B706" t="s">
        <v>426</v>
      </c>
      <c r="C706">
        <v>11</v>
      </c>
      <c r="D706" t="s">
        <v>363</v>
      </c>
      <c r="E706">
        <v>1</v>
      </c>
      <c r="F706" t="s">
        <v>425</v>
      </c>
      <c r="G706" t="s">
        <v>118</v>
      </c>
      <c r="H706" t="s">
        <v>117</v>
      </c>
      <c r="I706">
        <v>0.98507070198856195</v>
      </c>
      <c r="K706">
        <v>9</v>
      </c>
      <c r="M706">
        <v>505</v>
      </c>
      <c r="N706" t="s">
        <v>107</v>
      </c>
      <c r="O706" t="s">
        <v>125</v>
      </c>
      <c r="P706">
        <v>13056</v>
      </c>
      <c r="Q706">
        <v>10127</v>
      </c>
      <c r="R706" t="s">
        <v>424</v>
      </c>
      <c r="S706" t="s">
        <v>423</v>
      </c>
    </row>
    <row r="707" spans="1:19" x14ac:dyDescent="0.2">
      <c r="A707" t="s">
        <v>422</v>
      </c>
      <c r="B707" t="s">
        <v>421</v>
      </c>
      <c r="C707">
        <v>24</v>
      </c>
      <c r="D707" t="s">
        <v>120</v>
      </c>
      <c r="E707">
        <v>0</v>
      </c>
      <c r="F707" t="s">
        <v>420</v>
      </c>
      <c r="G707" t="s">
        <v>118</v>
      </c>
      <c r="H707" t="s">
        <v>117</v>
      </c>
      <c r="I707">
        <v>0.81165605944112096</v>
      </c>
      <c r="K707">
        <v>2</v>
      </c>
      <c r="M707">
        <v>500</v>
      </c>
      <c r="N707" t="s">
        <v>107</v>
      </c>
      <c r="O707" t="s">
        <v>419</v>
      </c>
      <c r="P707">
        <v>13057</v>
      </c>
      <c r="Q707">
        <v>9422</v>
      </c>
      <c r="R707" t="s">
        <v>418</v>
      </c>
      <c r="S707" t="s">
        <v>417</v>
      </c>
    </row>
    <row r="708" spans="1:19" x14ac:dyDescent="0.2">
      <c r="A708" t="s">
        <v>416</v>
      </c>
      <c r="B708" t="s">
        <v>415</v>
      </c>
      <c r="C708">
        <v>20</v>
      </c>
      <c r="D708" t="s">
        <v>363</v>
      </c>
      <c r="E708">
        <v>0</v>
      </c>
      <c r="F708" t="s">
        <v>414</v>
      </c>
      <c r="G708" t="s">
        <v>118</v>
      </c>
      <c r="H708" t="s">
        <v>117</v>
      </c>
      <c r="I708">
        <v>0.97534416780076905</v>
      </c>
      <c r="K708">
        <v>26</v>
      </c>
      <c r="M708">
        <v>500</v>
      </c>
      <c r="N708" t="s">
        <v>107</v>
      </c>
      <c r="O708" t="s">
        <v>125</v>
      </c>
      <c r="P708">
        <v>13068</v>
      </c>
      <c r="Q708">
        <v>10782</v>
      </c>
      <c r="R708" t="s">
        <v>413</v>
      </c>
      <c r="S708" t="s">
        <v>412</v>
      </c>
    </row>
    <row r="709" spans="1:19" x14ac:dyDescent="0.2">
      <c r="A709" t="s">
        <v>411</v>
      </c>
      <c r="B709" t="s">
        <v>410</v>
      </c>
      <c r="C709">
        <v>15</v>
      </c>
      <c r="D709" t="s">
        <v>363</v>
      </c>
      <c r="E709">
        <v>0</v>
      </c>
      <c r="F709" t="s">
        <v>409</v>
      </c>
      <c r="G709" t="s">
        <v>118</v>
      </c>
      <c r="H709" t="s">
        <v>117</v>
      </c>
      <c r="I709">
        <v>0.96768897500143902</v>
      </c>
      <c r="J709">
        <v>0.97231666222201096</v>
      </c>
      <c r="K709">
        <v>7</v>
      </c>
      <c r="L709">
        <v>3</v>
      </c>
      <c r="M709">
        <v>482</v>
      </c>
      <c r="N709" t="s">
        <v>107</v>
      </c>
      <c r="O709" t="s">
        <v>408</v>
      </c>
      <c r="P709">
        <v>13075</v>
      </c>
      <c r="Q709">
        <v>23528</v>
      </c>
      <c r="R709" t="s">
        <v>407</v>
      </c>
      <c r="S709" t="s">
        <v>406</v>
      </c>
    </row>
    <row r="710" spans="1:19" x14ac:dyDescent="0.2">
      <c r="A710" t="s">
        <v>405</v>
      </c>
      <c r="B710" t="s">
        <v>55</v>
      </c>
      <c r="C710">
        <v>14</v>
      </c>
      <c r="D710" t="s">
        <v>111</v>
      </c>
      <c r="E710">
        <v>0</v>
      </c>
      <c r="F710" t="s">
        <v>404</v>
      </c>
      <c r="G710" t="s">
        <v>109</v>
      </c>
      <c r="H710" t="s">
        <v>108</v>
      </c>
      <c r="M710">
        <v>36</v>
      </c>
      <c r="N710" t="s">
        <v>107</v>
      </c>
      <c r="O710" t="s">
        <v>403</v>
      </c>
      <c r="P710">
        <v>13076</v>
      </c>
      <c r="Q710">
        <v>8427</v>
      </c>
      <c r="R710" t="s">
        <v>402</v>
      </c>
      <c r="S710" t="s">
        <v>401</v>
      </c>
    </row>
    <row r="711" spans="1:19" x14ac:dyDescent="0.2">
      <c r="A711" t="s">
        <v>400</v>
      </c>
      <c r="B711" t="s">
        <v>399</v>
      </c>
      <c r="C711">
        <v>20</v>
      </c>
      <c r="D711" t="s">
        <v>120</v>
      </c>
      <c r="E711">
        <v>0</v>
      </c>
      <c r="F711" t="s">
        <v>398</v>
      </c>
      <c r="G711" t="s">
        <v>118</v>
      </c>
      <c r="H711" t="s">
        <v>117</v>
      </c>
      <c r="I711">
        <v>0.90486972218782402</v>
      </c>
      <c r="K711">
        <v>2</v>
      </c>
      <c r="M711">
        <v>455</v>
      </c>
      <c r="N711" t="s">
        <v>107</v>
      </c>
      <c r="O711" t="s">
        <v>125</v>
      </c>
      <c r="P711">
        <v>13507</v>
      </c>
      <c r="Q711">
        <v>57693</v>
      </c>
      <c r="R711" t="s">
        <v>397</v>
      </c>
      <c r="S711" t="s">
        <v>396</v>
      </c>
    </row>
    <row r="712" spans="1:19" x14ac:dyDescent="0.2">
      <c r="A712" t="s">
        <v>395</v>
      </c>
      <c r="B712" t="s">
        <v>394</v>
      </c>
      <c r="C712">
        <v>20</v>
      </c>
      <c r="D712" t="s">
        <v>120</v>
      </c>
      <c r="E712">
        <v>0</v>
      </c>
      <c r="F712" t="s">
        <v>393</v>
      </c>
      <c r="G712" t="s">
        <v>118</v>
      </c>
      <c r="H712" t="s">
        <v>117</v>
      </c>
      <c r="I712">
        <v>0.98128303424431096</v>
      </c>
      <c r="K712">
        <v>3</v>
      </c>
      <c r="M712">
        <v>461</v>
      </c>
      <c r="N712" t="s">
        <v>107</v>
      </c>
      <c r="O712" t="s">
        <v>125</v>
      </c>
      <c r="P712">
        <v>13842</v>
      </c>
      <c r="Q712">
        <v>162967</v>
      </c>
      <c r="R712" t="s">
        <v>392</v>
      </c>
      <c r="S712" t="s">
        <v>391</v>
      </c>
    </row>
    <row r="713" spans="1:19" x14ac:dyDescent="0.2">
      <c r="A713" t="s">
        <v>390</v>
      </c>
      <c r="B713" t="s">
        <v>389</v>
      </c>
      <c r="C713">
        <v>20</v>
      </c>
      <c r="D713" t="s">
        <v>388</v>
      </c>
      <c r="E713">
        <v>0</v>
      </c>
      <c r="F713" t="s">
        <v>387</v>
      </c>
      <c r="G713" t="s">
        <v>118</v>
      </c>
      <c r="H713" t="s">
        <v>117</v>
      </c>
      <c r="I713">
        <v>0.88416470808409597</v>
      </c>
      <c r="J713">
        <v>0.71306092782805797</v>
      </c>
      <c r="K713">
        <v>4</v>
      </c>
      <c r="L713">
        <v>2</v>
      </c>
      <c r="M713">
        <v>465</v>
      </c>
      <c r="N713" t="s">
        <v>107</v>
      </c>
      <c r="O713" t="s">
        <v>386</v>
      </c>
      <c r="P713">
        <v>23640</v>
      </c>
      <c r="Q713">
        <v>79692</v>
      </c>
      <c r="R713" t="s">
        <v>385</v>
      </c>
      <c r="S713" t="s">
        <v>384</v>
      </c>
    </row>
    <row r="714" spans="1:19" x14ac:dyDescent="0.2">
      <c r="A714" t="s">
        <v>383</v>
      </c>
      <c r="B714" t="s">
        <v>382</v>
      </c>
      <c r="C714">
        <v>20</v>
      </c>
      <c r="D714" t="s">
        <v>120</v>
      </c>
      <c r="E714">
        <v>0</v>
      </c>
      <c r="F714" t="s">
        <v>381</v>
      </c>
      <c r="G714" t="s">
        <v>118</v>
      </c>
      <c r="H714" t="s">
        <v>117</v>
      </c>
      <c r="I714">
        <v>0.82828092170956602</v>
      </c>
      <c r="K714">
        <v>4</v>
      </c>
      <c r="M714">
        <v>361</v>
      </c>
      <c r="N714" t="s">
        <v>107</v>
      </c>
      <c r="O714" t="s">
        <v>125</v>
      </c>
      <c r="P714">
        <v>14209</v>
      </c>
      <c r="Q714">
        <v>79673</v>
      </c>
      <c r="R714" t="s">
        <v>380</v>
      </c>
      <c r="S714" t="s">
        <v>379</v>
      </c>
    </row>
    <row r="715" spans="1:19" x14ac:dyDescent="0.2">
      <c r="A715" t="s">
        <v>378</v>
      </c>
      <c r="B715" t="s">
        <v>377</v>
      </c>
      <c r="C715">
        <v>20</v>
      </c>
      <c r="D715" t="s">
        <v>120</v>
      </c>
      <c r="E715">
        <v>0</v>
      </c>
      <c r="F715" t="s">
        <v>376</v>
      </c>
      <c r="G715" t="s">
        <v>118</v>
      </c>
      <c r="H715" t="s">
        <v>117</v>
      </c>
      <c r="I715">
        <v>0.98894420158575302</v>
      </c>
      <c r="K715">
        <v>3</v>
      </c>
      <c r="M715">
        <v>458</v>
      </c>
      <c r="N715" t="s">
        <v>107</v>
      </c>
      <c r="O715" t="s">
        <v>125</v>
      </c>
      <c r="P715">
        <v>15489</v>
      </c>
      <c r="Q715">
        <v>55422</v>
      </c>
      <c r="R715" t="s">
        <v>375</v>
      </c>
      <c r="S715" t="s">
        <v>374</v>
      </c>
    </row>
    <row r="716" spans="1:19" x14ac:dyDescent="0.2">
      <c r="A716" t="s">
        <v>373</v>
      </c>
      <c r="B716" t="s">
        <v>372</v>
      </c>
      <c r="C716">
        <v>9</v>
      </c>
      <c r="D716" t="s">
        <v>111</v>
      </c>
      <c r="E716">
        <v>0</v>
      </c>
      <c r="F716" t="s">
        <v>371</v>
      </c>
      <c r="G716" t="s">
        <v>229</v>
      </c>
      <c r="H716" t="s">
        <v>228</v>
      </c>
      <c r="M716">
        <v>16</v>
      </c>
      <c r="N716" t="s">
        <v>107</v>
      </c>
      <c r="O716" t="s">
        <v>370</v>
      </c>
      <c r="P716">
        <v>15624</v>
      </c>
      <c r="Q716">
        <v>84449</v>
      </c>
      <c r="R716" t="s">
        <v>369</v>
      </c>
      <c r="S716" t="s">
        <v>368</v>
      </c>
    </row>
    <row r="717" spans="1:19" x14ac:dyDescent="0.2">
      <c r="A717" t="s">
        <v>367</v>
      </c>
      <c r="B717" t="s">
        <v>364</v>
      </c>
      <c r="C717">
        <v>22</v>
      </c>
      <c r="D717" t="s">
        <v>363</v>
      </c>
      <c r="E717">
        <v>0</v>
      </c>
      <c r="F717" t="s">
        <v>366</v>
      </c>
      <c r="G717" t="s">
        <v>118</v>
      </c>
      <c r="H717" t="s">
        <v>117</v>
      </c>
      <c r="I717">
        <v>0.959894253566551</v>
      </c>
      <c r="J717">
        <v>0.96828277706601196</v>
      </c>
      <c r="K717">
        <v>2</v>
      </c>
      <c r="L717">
        <v>4</v>
      </c>
      <c r="M717">
        <v>103</v>
      </c>
      <c r="N717" t="s">
        <v>137</v>
      </c>
      <c r="O717" t="s">
        <v>136</v>
      </c>
      <c r="P717">
        <v>15807</v>
      </c>
      <c r="Q717">
        <v>63925</v>
      </c>
      <c r="R717" t="s">
        <v>361</v>
      </c>
      <c r="S717" t="s">
        <v>360</v>
      </c>
    </row>
    <row r="718" spans="1:19" x14ac:dyDescent="0.2">
      <c r="A718" t="s">
        <v>365</v>
      </c>
      <c r="B718" t="s">
        <v>364</v>
      </c>
      <c r="C718">
        <v>7</v>
      </c>
      <c r="D718" t="s">
        <v>363</v>
      </c>
      <c r="E718">
        <v>1</v>
      </c>
      <c r="F718" t="s">
        <v>362</v>
      </c>
      <c r="G718" t="s">
        <v>118</v>
      </c>
      <c r="H718" t="s">
        <v>117</v>
      </c>
      <c r="I718">
        <v>0.89235491264243305</v>
      </c>
      <c r="J718">
        <v>0.99499032181896496</v>
      </c>
      <c r="K718">
        <v>2</v>
      </c>
      <c r="L718">
        <v>4</v>
      </c>
      <c r="M718">
        <v>123</v>
      </c>
      <c r="N718" t="s">
        <v>137</v>
      </c>
      <c r="O718" t="s">
        <v>136</v>
      </c>
      <c r="P718">
        <v>15807</v>
      </c>
      <c r="Q718">
        <v>63925</v>
      </c>
      <c r="R718" t="s">
        <v>361</v>
      </c>
      <c r="S718" t="s">
        <v>360</v>
      </c>
    </row>
    <row r="719" spans="1:19" x14ac:dyDescent="0.2">
      <c r="A719" t="s">
        <v>359</v>
      </c>
      <c r="B719" t="s">
        <v>356</v>
      </c>
      <c r="C719">
        <v>22</v>
      </c>
      <c r="D719" t="s">
        <v>120</v>
      </c>
      <c r="E719">
        <v>0</v>
      </c>
      <c r="F719" t="s">
        <v>358</v>
      </c>
      <c r="G719" t="s">
        <v>118</v>
      </c>
      <c r="H719" t="s">
        <v>117</v>
      </c>
      <c r="I719">
        <v>0.84500799192519505</v>
      </c>
      <c r="K719">
        <v>2</v>
      </c>
      <c r="M719">
        <v>499</v>
      </c>
      <c r="N719" t="s">
        <v>137</v>
      </c>
      <c r="O719" t="s">
        <v>136</v>
      </c>
      <c r="P719">
        <v>15992</v>
      </c>
      <c r="Q719">
        <v>84905</v>
      </c>
      <c r="R719" t="s">
        <v>354</v>
      </c>
      <c r="S719" t="s">
        <v>353</v>
      </c>
    </row>
    <row r="720" spans="1:19" x14ac:dyDescent="0.2">
      <c r="A720" t="s">
        <v>357</v>
      </c>
      <c r="B720" t="s">
        <v>356</v>
      </c>
      <c r="C720">
        <v>9</v>
      </c>
      <c r="D720" t="s">
        <v>120</v>
      </c>
      <c r="E720">
        <v>1</v>
      </c>
      <c r="F720" t="s">
        <v>355</v>
      </c>
      <c r="G720" t="s">
        <v>118</v>
      </c>
      <c r="H720" t="s">
        <v>117</v>
      </c>
      <c r="I720">
        <v>0.81255235216494603</v>
      </c>
      <c r="K720">
        <v>2</v>
      </c>
      <c r="M720">
        <v>500</v>
      </c>
      <c r="N720" t="s">
        <v>137</v>
      </c>
      <c r="O720" t="s">
        <v>136</v>
      </c>
      <c r="P720">
        <v>15992</v>
      </c>
      <c r="Q720">
        <v>84905</v>
      </c>
      <c r="R720" t="s">
        <v>354</v>
      </c>
      <c r="S720" t="s">
        <v>353</v>
      </c>
    </row>
    <row r="721" spans="1:19" x14ac:dyDescent="0.2">
      <c r="A721" t="s">
        <v>352</v>
      </c>
      <c r="B721" t="s">
        <v>349</v>
      </c>
      <c r="C721">
        <v>18</v>
      </c>
      <c r="D721" t="s">
        <v>120</v>
      </c>
      <c r="E721">
        <v>0</v>
      </c>
      <c r="F721" t="s">
        <v>351</v>
      </c>
      <c r="G721" t="s">
        <v>118</v>
      </c>
      <c r="H721" t="s">
        <v>117</v>
      </c>
      <c r="I721">
        <v>0.97805038629397401</v>
      </c>
      <c r="K721">
        <v>3</v>
      </c>
      <c r="M721">
        <v>501</v>
      </c>
      <c r="N721" t="s">
        <v>107</v>
      </c>
      <c r="O721" t="s">
        <v>347</v>
      </c>
      <c r="P721">
        <v>16656</v>
      </c>
      <c r="Q721">
        <v>59348</v>
      </c>
      <c r="R721" t="s">
        <v>346</v>
      </c>
      <c r="S721" t="s">
        <v>345</v>
      </c>
    </row>
    <row r="722" spans="1:19" x14ac:dyDescent="0.2">
      <c r="A722" t="s">
        <v>350</v>
      </c>
      <c r="B722" t="s">
        <v>349</v>
      </c>
      <c r="C722">
        <v>24</v>
      </c>
      <c r="D722" t="s">
        <v>111</v>
      </c>
      <c r="E722">
        <v>1</v>
      </c>
      <c r="F722" t="s">
        <v>348</v>
      </c>
      <c r="G722" t="s">
        <v>229</v>
      </c>
      <c r="H722" t="s">
        <v>228</v>
      </c>
      <c r="I722">
        <v>0.67116449799092903</v>
      </c>
      <c r="K722">
        <v>3</v>
      </c>
      <c r="M722">
        <v>15</v>
      </c>
      <c r="N722" t="s">
        <v>107</v>
      </c>
      <c r="O722" t="s">
        <v>347</v>
      </c>
      <c r="P722">
        <v>16656</v>
      </c>
      <c r="Q722">
        <v>59348</v>
      </c>
      <c r="R722" t="s">
        <v>346</v>
      </c>
      <c r="S722" t="s">
        <v>345</v>
      </c>
    </row>
    <row r="723" spans="1:19" x14ac:dyDescent="0.2">
      <c r="A723" t="s">
        <v>344</v>
      </c>
      <c r="B723" t="s">
        <v>343</v>
      </c>
      <c r="C723">
        <v>22</v>
      </c>
      <c r="D723" t="s">
        <v>120</v>
      </c>
      <c r="E723">
        <v>0</v>
      </c>
      <c r="F723" t="s">
        <v>342</v>
      </c>
      <c r="G723" t="s">
        <v>118</v>
      </c>
      <c r="H723" t="s">
        <v>117</v>
      </c>
      <c r="I723">
        <v>0.93146378413886299</v>
      </c>
      <c r="K723">
        <v>2</v>
      </c>
      <c r="M723">
        <v>478</v>
      </c>
      <c r="N723" t="s">
        <v>137</v>
      </c>
      <c r="O723" t="s">
        <v>341</v>
      </c>
      <c r="P723">
        <v>17409</v>
      </c>
      <c r="Q723">
        <v>84911</v>
      </c>
      <c r="R723" t="s">
        <v>340</v>
      </c>
      <c r="S723" t="s">
        <v>339</v>
      </c>
    </row>
    <row r="724" spans="1:19" x14ac:dyDescent="0.2">
      <c r="A724" t="s">
        <v>338</v>
      </c>
      <c r="B724" t="s">
        <v>337</v>
      </c>
      <c r="C724">
        <v>12</v>
      </c>
      <c r="D724" t="s">
        <v>120</v>
      </c>
      <c r="E724">
        <v>0</v>
      </c>
      <c r="F724" t="s">
        <v>336</v>
      </c>
      <c r="G724" t="s">
        <v>229</v>
      </c>
      <c r="H724" t="s">
        <v>228</v>
      </c>
      <c r="M724">
        <v>39</v>
      </c>
      <c r="N724" t="s">
        <v>107</v>
      </c>
      <c r="O724" t="s">
        <v>335</v>
      </c>
      <c r="P724">
        <v>11955</v>
      </c>
      <c r="Q724">
        <v>171017</v>
      </c>
      <c r="R724" t="s">
        <v>334</v>
      </c>
      <c r="S724" t="s">
        <v>333</v>
      </c>
    </row>
    <row r="725" spans="1:19" x14ac:dyDescent="0.2">
      <c r="A725" t="s">
        <v>332</v>
      </c>
      <c r="B725" t="s">
        <v>329</v>
      </c>
      <c r="C725">
        <v>20</v>
      </c>
      <c r="D725" t="s">
        <v>120</v>
      </c>
      <c r="E725">
        <v>0</v>
      </c>
      <c r="F725" t="s">
        <v>331</v>
      </c>
      <c r="G725" t="s">
        <v>118</v>
      </c>
      <c r="H725" t="s">
        <v>117</v>
      </c>
      <c r="I725">
        <v>0.80210253008752697</v>
      </c>
      <c r="K725">
        <v>3</v>
      </c>
      <c r="M725">
        <v>375</v>
      </c>
      <c r="N725" t="s">
        <v>107</v>
      </c>
      <c r="O725" t="s">
        <v>125</v>
      </c>
      <c r="P725">
        <v>18832</v>
      </c>
      <c r="Q725">
        <v>84124</v>
      </c>
      <c r="R725" t="s">
        <v>327</v>
      </c>
      <c r="S725" t="s">
        <v>326</v>
      </c>
    </row>
    <row r="726" spans="1:19" x14ac:dyDescent="0.2">
      <c r="A726" t="s">
        <v>330</v>
      </c>
      <c r="B726" t="s">
        <v>329</v>
      </c>
      <c r="C726">
        <v>9</v>
      </c>
      <c r="D726" t="s">
        <v>111</v>
      </c>
      <c r="E726">
        <v>1</v>
      </c>
      <c r="F726" t="s">
        <v>328</v>
      </c>
      <c r="G726" t="s">
        <v>118</v>
      </c>
      <c r="H726" t="s">
        <v>117</v>
      </c>
      <c r="I726">
        <v>0.66085153847682698</v>
      </c>
      <c r="K726">
        <v>3</v>
      </c>
      <c r="M726">
        <v>382</v>
      </c>
      <c r="N726" t="s">
        <v>107</v>
      </c>
      <c r="O726" t="s">
        <v>125</v>
      </c>
      <c r="P726">
        <v>18832</v>
      </c>
      <c r="Q726">
        <v>84124</v>
      </c>
      <c r="R726" t="s">
        <v>327</v>
      </c>
      <c r="S726" t="s">
        <v>326</v>
      </c>
    </row>
    <row r="727" spans="1:19" x14ac:dyDescent="0.2">
      <c r="A727" t="s">
        <v>325</v>
      </c>
      <c r="B727" t="s">
        <v>324</v>
      </c>
      <c r="C727">
        <v>13</v>
      </c>
      <c r="D727" t="s">
        <v>111</v>
      </c>
      <c r="E727">
        <v>0</v>
      </c>
      <c r="F727" t="s">
        <v>323</v>
      </c>
      <c r="G727" t="s">
        <v>109</v>
      </c>
      <c r="H727" t="s">
        <v>108</v>
      </c>
      <c r="M727">
        <v>1227</v>
      </c>
      <c r="N727" t="s">
        <v>107</v>
      </c>
      <c r="O727" t="s">
        <v>322</v>
      </c>
      <c r="P727">
        <v>20144</v>
      </c>
      <c r="Q727">
        <v>57862</v>
      </c>
      <c r="R727" t="s">
        <v>321</v>
      </c>
      <c r="S727" t="s">
        <v>320</v>
      </c>
    </row>
    <row r="728" spans="1:19" x14ac:dyDescent="0.2">
      <c r="A728" t="s">
        <v>319</v>
      </c>
      <c r="B728" t="s">
        <v>316</v>
      </c>
      <c r="C728">
        <v>17</v>
      </c>
      <c r="D728" t="s">
        <v>120</v>
      </c>
      <c r="E728">
        <v>0</v>
      </c>
      <c r="F728" t="s">
        <v>318</v>
      </c>
      <c r="G728" t="s">
        <v>118</v>
      </c>
      <c r="H728" t="s">
        <v>117</v>
      </c>
      <c r="I728">
        <v>0.90593545666872699</v>
      </c>
      <c r="K728">
        <v>4</v>
      </c>
      <c r="M728">
        <v>500</v>
      </c>
      <c r="N728" t="s">
        <v>137</v>
      </c>
      <c r="O728" t="s">
        <v>314</v>
      </c>
      <c r="P728">
        <v>20647</v>
      </c>
      <c r="Q728">
        <v>147686</v>
      </c>
      <c r="R728" t="s">
        <v>313</v>
      </c>
      <c r="S728" t="s">
        <v>312</v>
      </c>
    </row>
    <row r="729" spans="1:19" x14ac:dyDescent="0.2">
      <c r="A729" t="s">
        <v>317</v>
      </c>
      <c r="B729" t="s">
        <v>316</v>
      </c>
      <c r="C729">
        <v>12</v>
      </c>
      <c r="D729" t="s">
        <v>111</v>
      </c>
      <c r="E729">
        <v>1</v>
      </c>
      <c r="F729" t="s">
        <v>315</v>
      </c>
      <c r="G729" t="s">
        <v>118</v>
      </c>
      <c r="H729" t="s">
        <v>117</v>
      </c>
      <c r="I729">
        <v>0.79057893085280695</v>
      </c>
      <c r="K729">
        <v>4</v>
      </c>
      <c r="M729">
        <v>500</v>
      </c>
      <c r="N729" t="s">
        <v>137</v>
      </c>
      <c r="O729" t="s">
        <v>314</v>
      </c>
      <c r="P729">
        <v>20647</v>
      </c>
      <c r="Q729">
        <v>147686</v>
      </c>
      <c r="R729" t="s">
        <v>313</v>
      </c>
      <c r="S729" t="s">
        <v>312</v>
      </c>
    </row>
    <row r="730" spans="1:19" x14ac:dyDescent="0.2">
      <c r="A730" t="s">
        <v>311</v>
      </c>
      <c r="B730" t="s">
        <v>310</v>
      </c>
      <c r="C730">
        <v>15</v>
      </c>
      <c r="D730" t="s">
        <v>111</v>
      </c>
      <c r="E730">
        <v>0</v>
      </c>
      <c r="F730" t="s">
        <v>309</v>
      </c>
      <c r="G730" t="s">
        <v>229</v>
      </c>
      <c r="H730" t="s">
        <v>228</v>
      </c>
      <c r="M730">
        <v>22</v>
      </c>
      <c r="N730" t="s">
        <v>137</v>
      </c>
      <c r="O730" t="s">
        <v>308</v>
      </c>
      <c r="P730">
        <v>16762</v>
      </c>
      <c r="Q730">
        <v>23090</v>
      </c>
      <c r="R730" t="s">
        <v>307</v>
      </c>
      <c r="S730" t="s">
        <v>306</v>
      </c>
    </row>
    <row r="731" spans="1:19" x14ac:dyDescent="0.2">
      <c r="A731" t="s">
        <v>305</v>
      </c>
      <c r="B731" t="s">
        <v>304</v>
      </c>
      <c r="C731">
        <v>24</v>
      </c>
      <c r="D731" t="s">
        <v>120</v>
      </c>
      <c r="E731">
        <v>0</v>
      </c>
      <c r="F731" t="s">
        <v>303</v>
      </c>
      <c r="G731" t="s">
        <v>118</v>
      </c>
      <c r="H731" t="s">
        <v>117</v>
      </c>
      <c r="I731">
        <v>0.98437155289103795</v>
      </c>
      <c r="K731">
        <v>4</v>
      </c>
      <c r="M731">
        <v>485</v>
      </c>
      <c r="N731" t="s">
        <v>107</v>
      </c>
      <c r="O731" t="s">
        <v>302</v>
      </c>
      <c r="P731">
        <v>20814</v>
      </c>
      <c r="Q731">
        <v>80818</v>
      </c>
      <c r="R731" t="s">
        <v>301</v>
      </c>
      <c r="S731" t="s">
        <v>300</v>
      </c>
    </row>
    <row r="732" spans="1:19" x14ac:dyDescent="0.2">
      <c r="A732" t="s">
        <v>299</v>
      </c>
      <c r="B732" t="s">
        <v>298</v>
      </c>
      <c r="C732">
        <v>11</v>
      </c>
      <c r="D732" t="s">
        <v>120</v>
      </c>
      <c r="E732">
        <v>0</v>
      </c>
      <c r="F732" t="s">
        <v>297</v>
      </c>
      <c r="G732" t="s">
        <v>118</v>
      </c>
      <c r="H732" t="s">
        <v>117</v>
      </c>
      <c r="I732">
        <v>0.937993169935469</v>
      </c>
      <c r="K732">
        <v>2</v>
      </c>
      <c r="M732">
        <v>500</v>
      </c>
      <c r="N732" t="s">
        <v>107</v>
      </c>
      <c r="O732" t="s">
        <v>125</v>
      </c>
      <c r="P732">
        <v>21039</v>
      </c>
      <c r="Q732">
        <v>203523</v>
      </c>
      <c r="R732" t="s">
        <v>296</v>
      </c>
      <c r="S732" t="s">
        <v>295</v>
      </c>
    </row>
    <row r="733" spans="1:19" x14ac:dyDescent="0.2">
      <c r="A733" t="s">
        <v>294</v>
      </c>
      <c r="B733" t="s">
        <v>293</v>
      </c>
      <c r="C733">
        <v>22</v>
      </c>
      <c r="D733" t="s">
        <v>120</v>
      </c>
      <c r="E733">
        <v>0</v>
      </c>
      <c r="F733" t="s">
        <v>292</v>
      </c>
      <c r="G733" t="s">
        <v>118</v>
      </c>
      <c r="H733" t="s">
        <v>117</v>
      </c>
      <c r="I733">
        <v>0.97108510437651696</v>
      </c>
      <c r="K733">
        <v>3</v>
      </c>
      <c r="M733">
        <v>499</v>
      </c>
      <c r="N733" t="s">
        <v>137</v>
      </c>
      <c r="O733" t="s">
        <v>136</v>
      </c>
      <c r="P733">
        <v>23154</v>
      </c>
      <c r="Q733">
        <v>168544</v>
      </c>
      <c r="R733" t="s">
        <v>291</v>
      </c>
      <c r="S733" t="s">
        <v>290</v>
      </c>
    </row>
    <row r="734" spans="1:19" x14ac:dyDescent="0.2">
      <c r="A734" t="s">
        <v>289</v>
      </c>
      <c r="B734" t="s">
        <v>288</v>
      </c>
      <c r="C734">
        <v>24</v>
      </c>
      <c r="D734" t="s">
        <v>120</v>
      </c>
      <c r="E734">
        <v>0</v>
      </c>
      <c r="F734" t="s">
        <v>287</v>
      </c>
      <c r="G734" t="s">
        <v>118</v>
      </c>
      <c r="H734" t="s">
        <v>117</v>
      </c>
      <c r="I734">
        <v>0.98881944413977996</v>
      </c>
      <c r="K734">
        <v>4</v>
      </c>
      <c r="M734">
        <v>430</v>
      </c>
      <c r="N734" t="s">
        <v>107</v>
      </c>
      <c r="O734" t="s">
        <v>246</v>
      </c>
      <c r="P734">
        <v>23705</v>
      </c>
      <c r="Q734">
        <v>57474</v>
      </c>
      <c r="R734" t="s">
        <v>286</v>
      </c>
      <c r="S734" t="s">
        <v>285</v>
      </c>
    </row>
    <row r="735" spans="1:19" x14ac:dyDescent="0.2">
      <c r="A735" t="s">
        <v>284</v>
      </c>
      <c r="B735" t="s">
        <v>283</v>
      </c>
      <c r="C735">
        <v>20</v>
      </c>
      <c r="D735" t="s">
        <v>120</v>
      </c>
      <c r="E735">
        <v>0</v>
      </c>
      <c r="F735" t="s">
        <v>282</v>
      </c>
      <c r="G735" t="s">
        <v>118</v>
      </c>
      <c r="H735" t="s">
        <v>117</v>
      </c>
      <c r="I735">
        <v>0.87621198134309797</v>
      </c>
      <c r="K735">
        <v>3</v>
      </c>
      <c r="M735">
        <v>156</v>
      </c>
      <c r="N735" t="s">
        <v>107</v>
      </c>
      <c r="O735" t="s">
        <v>125</v>
      </c>
      <c r="P735">
        <v>23718</v>
      </c>
      <c r="Q735">
        <v>91392</v>
      </c>
      <c r="R735" t="s">
        <v>281</v>
      </c>
      <c r="S735" t="s">
        <v>280</v>
      </c>
    </row>
    <row r="736" spans="1:19" x14ac:dyDescent="0.2">
      <c r="A736" t="s">
        <v>279</v>
      </c>
      <c r="B736" t="s">
        <v>278</v>
      </c>
      <c r="C736">
        <v>18</v>
      </c>
      <c r="D736" t="s">
        <v>111</v>
      </c>
      <c r="E736">
        <v>0</v>
      </c>
      <c r="F736" t="s">
        <v>277</v>
      </c>
      <c r="G736" t="s">
        <v>109</v>
      </c>
      <c r="H736" t="s">
        <v>108</v>
      </c>
      <c r="M736">
        <v>509</v>
      </c>
      <c r="N736" t="s">
        <v>107</v>
      </c>
      <c r="O736" t="s">
        <v>276</v>
      </c>
      <c r="P736">
        <v>28322</v>
      </c>
      <c r="Q736">
        <v>147807</v>
      </c>
      <c r="R736" t="s">
        <v>275</v>
      </c>
      <c r="S736" t="s">
        <v>274</v>
      </c>
    </row>
    <row r="737" spans="1:19" x14ac:dyDescent="0.2">
      <c r="A737" t="s">
        <v>273</v>
      </c>
      <c r="B737" t="s">
        <v>272</v>
      </c>
      <c r="C737">
        <v>20</v>
      </c>
      <c r="D737" t="s">
        <v>120</v>
      </c>
      <c r="E737">
        <v>0</v>
      </c>
      <c r="F737" t="s">
        <v>271</v>
      </c>
      <c r="G737" t="s">
        <v>118</v>
      </c>
      <c r="H737" t="s">
        <v>117</v>
      </c>
      <c r="I737">
        <v>0.82049857045955799</v>
      </c>
      <c r="K737">
        <v>2</v>
      </c>
      <c r="M737">
        <v>371</v>
      </c>
      <c r="N737" t="s">
        <v>107</v>
      </c>
      <c r="O737" t="s">
        <v>125</v>
      </c>
      <c r="P737">
        <v>29384</v>
      </c>
      <c r="Q737">
        <v>84436</v>
      </c>
      <c r="R737" t="s">
        <v>270</v>
      </c>
      <c r="S737" t="s">
        <v>269</v>
      </c>
    </row>
    <row r="738" spans="1:19" x14ac:dyDescent="0.2">
      <c r="A738" t="s">
        <v>268</v>
      </c>
      <c r="B738" t="s">
        <v>267</v>
      </c>
      <c r="C738">
        <v>20</v>
      </c>
      <c r="D738" t="s">
        <v>120</v>
      </c>
      <c r="E738">
        <v>0</v>
      </c>
      <c r="F738" t="s">
        <v>266</v>
      </c>
      <c r="G738" t="s">
        <v>118</v>
      </c>
      <c r="H738" t="s">
        <v>117</v>
      </c>
      <c r="I738">
        <v>0.90140768882990396</v>
      </c>
      <c r="K738">
        <v>4</v>
      </c>
      <c r="M738">
        <v>405</v>
      </c>
      <c r="N738" t="s">
        <v>107</v>
      </c>
      <c r="O738" t="s">
        <v>125</v>
      </c>
      <c r="P738">
        <v>26432</v>
      </c>
      <c r="Q738">
        <v>284306</v>
      </c>
      <c r="R738" t="s">
        <v>265</v>
      </c>
      <c r="S738" t="s">
        <v>264</v>
      </c>
    </row>
    <row r="739" spans="1:19" x14ac:dyDescent="0.2">
      <c r="A739" t="s">
        <v>263</v>
      </c>
      <c r="B739" t="s">
        <v>262</v>
      </c>
      <c r="C739">
        <v>20</v>
      </c>
      <c r="D739" t="s">
        <v>120</v>
      </c>
      <c r="E739">
        <v>0</v>
      </c>
      <c r="F739" t="s">
        <v>261</v>
      </c>
      <c r="G739" t="s">
        <v>118</v>
      </c>
      <c r="H739" t="s">
        <v>117</v>
      </c>
      <c r="I739">
        <v>0.94835783206739999</v>
      </c>
      <c r="K739">
        <v>3</v>
      </c>
      <c r="M739">
        <v>500</v>
      </c>
      <c r="N739" t="s">
        <v>107</v>
      </c>
      <c r="O739" t="s">
        <v>125</v>
      </c>
      <c r="P739">
        <v>26632</v>
      </c>
      <c r="Q739">
        <v>256051</v>
      </c>
      <c r="R739" t="s">
        <v>260</v>
      </c>
      <c r="S739" t="s">
        <v>259</v>
      </c>
    </row>
    <row r="740" spans="1:19" x14ac:dyDescent="0.2">
      <c r="A740" t="s">
        <v>258</v>
      </c>
      <c r="B740" t="s">
        <v>255</v>
      </c>
      <c r="C740">
        <v>20</v>
      </c>
      <c r="D740" t="s">
        <v>120</v>
      </c>
      <c r="E740">
        <v>0</v>
      </c>
      <c r="F740" t="s">
        <v>257</v>
      </c>
      <c r="G740" t="s">
        <v>118</v>
      </c>
      <c r="H740" t="s">
        <v>117</v>
      </c>
      <c r="I740">
        <v>0.85304807202144095</v>
      </c>
      <c r="K740">
        <v>2</v>
      </c>
      <c r="M740">
        <v>501</v>
      </c>
      <c r="N740" t="s">
        <v>107</v>
      </c>
      <c r="O740" t="s">
        <v>125</v>
      </c>
      <c r="P740">
        <v>26629</v>
      </c>
      <c r="Q740">
        <v>115196</v>
      </c>
      <c r="R740" t="s">
        <v>253</v>
      </c>
      <c r="S740" t="s">
        <v>252</v>
      </c>
    </row>
    <row r="741" spans="1:19" x14ac:dyDescent="0.2">
      <c r="A741" t="s">
        <v>256</v>
      </c>
      <c r="B741" t="s">
        <v>255</v>
      </c>
      <c r="C741">
        <v>9</v>
      </c>
      <c r="D741" t="s">
        <v>111</v>
      </c>
      <c r="E741">
        <v>1</v>
      </c>
      <c r="F741" t="s">
        <v>254</v>
      </c>
      <c r="G741" t="s">
        <v>118</v>
      </c>
      <c r="H741" t="s">
        <v>117</v>
      </c>
      <c r="I741">
        <v>0.774192807904035</v>
      </c>
      <c r="K741">
        <v>2</v>
      </c>
      <c r="M741">
        <v>500</v>
      </c>
      <c r="N741" t="s">
        <v>107</v>
      </c>
      <c r="O741" t="s">
        <v>125</v>
      </c>
      <c r="P741">
        <v>26629</v>
      </c>
      <c r="Q741">
        <v>115196</v>
      </c>
      <c r="R741" t="s">
        <v>253</v>
      </c>
      <c r="S741" t="s">
        <v>252</v>
      </c>
    </row>
    <row r="742" spans="1:19" x14ac:dyDescent="0.2">
      <c r="A742" t="s">
        <v>251</v>
      </c>
      <c r="B742" t="s">
        <v>248</v>
      </c>
      <c r="C742">
        <v>21</v>
      </c>
      <c r="D742" t="s">
        <v>120</v>
      </c>
      <c r="E742">
        <v>0</v>
      </c>
      <c r="F742" t="s">
        <v>250</v>
      </c>
      <c r="G742" t="s">
        <v>118</v>
      </c>
      <c r="H742" t="s">
        <v>117</v>
      </c>
      <c r="I742">
        <v>0.88588764060174896</v>
      </c>
      <c r="K742">
        <v>4</v>
      </c>
      <c r="M742">
        <v>499</v>
      </c>
      <c r="N742" t="s">
        <v>107</v>
      </c>
      <c r="O742" t="s">
        <v>246</v>
      </c>
      <c r="P742">
        <v>30498</v>
      </c>
      <c r="Q742">
        <v>147837</v>
      </c>
      <c r="R742" t="s">
        <v>245</v>
      </c>
      <c r="S742" t="s">
        <v>244</v>
      </c>
    </row>
    <row r="743" spans="1:19" x14ac:dyDescent="0.2">
      <c r="A743" t="s">
        <v>249</v>
      </c>
      <c r="B743" t="s">
        <v>248</v>
      </c>
      <c r="C743">
        <v>12</v>
      </c>
      <c r="D743" t="s">
        <v>120</v>
      </c>
      <c r="E743">
        <v>1</v>
      </c>
      <c r="F743" t="s">
        <v>247</v>
      </c>
      <c r="G743" t="s">
        <v>118</v>
      </c>
      <c r="H743" t="s">
        <v>117</v>
      </c>
      <c r="I743">
        <v>0.86297476860259104</v>
      </c>
      <c r="K743">
        <v>4</v>
      </c>
      <c r="M743">
        <v>500</v>
      </c>
      <c r="N743" t="s">
        <v>107</v>
      </c>
      <c r="O743" t="s">
        <v>246</v>
      </c>
      <c r="P743">
        <v>30498</v>
      </c>
      <c r="Q743">
        <v>147837</v>
      </c>
      <c r="R743" t="s">
        <v>245</v>
      </c>
      <c r="S743" t="s">
        <v>244</v>
      </c>
    </row>
    <row r="744" spans="1:19" x14ac:dyDescent="0.2">
      <c r="A744" t="s">
        <v>243</v>
      </c>
      <c r="B744" t="s">
        <v>242</v>
      </c>
      <c r="C744">
        <v>24</v>
      </c>
      <c r="D744" t="s">
        <v>120</v>
      </c>
      <c r="E744">
        <v>0</v>
      </c>
      <c r="F744" t="s">
        <v>241</v>
      </c>
      <c r="G744" t="s">
        <v>118</v>
      </c>
      <c r="H744" t="s">
        <v>117</v>
      </c>
      <c r="I744">
        <v>0.852065263680998</v>
      </c>
      <c r="K744">
        <v>3</v>
      </c>
      <c r="M744">
        <v>261</v>
      </c>
      <c r="N744" t="s">
        <v>107</v>
      </c>
      <c r="O744" t="s">
        <v>240</v>
      </c>
      <c r="P744">
        <v>26421</v>
      </c>
      <c r="Q744">
        <v>147948</v>
      </c>
      <c r="R744" t="s">
        <v>239</v>
      </c>
      <c r="S744" t="s">
        <v>238</v>
      </c>
    </row>
    <row r="745" spans="1:19" x14ac:dyDescent="0.2">
      <c r="A745" t="s">
        <v>237</v>
      </c>
      <c r="B745" t="s">
        <v>236</v>
      </c>
      <c r="C745">
        <v>20</v>
      </c>
      <c r="D745" t="s">
        <v>120</v>
      </c>
      <c r="E745">
        <v>0</v>
      </c>
      <c r="F745" t="s">
        <v>235</v>
      </c>
      <c r="G745" t="s">
        <v>118</v>
      </c>
      <c r="H745" t="s">
        <v>117</v>
      </c>
      <c r="I745">
        <v>0.99965829908508597</v>
      </c>
      <c r="K745">
        <v>4</v>
      </c>
      <c r="M745">
        <v>472</v>
      </c>
      <c r="N745" t="s">
        <v>107</v>
      </c>
      <c r="O745" t="s">
        <v>125</v>
      </c>
      <c r="P745">
        <v>25949</v>
      </c>
      <c r="Q745">
        <v>54807</v>
      </c>
      <c r="R745" t="s">
        <v>234</v>
      </c>
      <c r="S745" t="s">
        <v>233</v>
      </c>
    </row>
    <row r="746" spans="1:19" x14ac:dyDescent="0.2">
      <c r="A746" t="s">
        <v>232</v>
      </c>
      <c r="B746" t="s">
        <v>231</v>
      </c>
      <c r="C746">
        <v>16</v>
      </c>
      <c r="D746" t="s">
        <v>111</v>
      </c>
      <c r="E746">
        <v>0</v>
      </c>
      <c r="F746" t="s">
        <v>230</v>
      </c>
      <c r="G746" t="s">
        <v>229</v>
      </c>
      <c r="H746" t="s">
        <v>228</v>
      </c>
      <c r="M746">
        <v>15</v>
      </c>
      <c r="N746" t="s">
        <v>107</v>
      </c>
      <c r="O746" t="s">
        <v>125</v>
      </c>
      <c r="P746">
        <v>16747</v>
      </c>
      <c r="Q746">
        <v>51385</v>
      </c>
      <c r="R746" t="s">
        <v>227</v>
      </c>
      <c r="S746" t="s">
        <v>226</v>
      </c>
    </row>
    <row r="747" spans="1:19" x14ac:dyDescent="0.2">
      <c r="A747" t="s">
        <v>225</v>
      </c>
      <c r="B747" t="s">
        <v>224</v>
      </c>
      <c r="C747">
        <v>11</v>
      </c>
      <c r="D747" t="s">
        <v>111</v>
      </c>
      <c r="E747">
        <v>0</v>
      </c>
      <c r="F747" t="s">
        <v>223</v>
      </c>
      <c r="G747" t="s">
        <v>109</v>
      </c>
      <c r="H747" t="s">
        <v>108</v>
      </c>
      <c r="M747">
        <v>236</v>
      </c>
      <c r="N747" t="s">
        <v>107</v>
      </c>
      <c r="O747" t="s">
        <v>222</v>
      </c>
      <c r="P747">
        <v>29147</v>
      </c>
      <c r="Q747">
        <v>22834</v>
      </c>
      <c r="R747" t="s">
        <v>221</v>
      </c>
      <c r="S747" t="s">
        <v>220</v>
      </c>
    </row>
    <row r="748" spans="1:19" x14ac:dyDescent="0.2">
      <c r="A748" t="s">
        <v>219</v>
      </c>
      <c r="B748" t="s">
        <v>218</v>
      </c>
      <c r="C748">
        <v>19</v>
      </c>
      <c r="D748" t="s">
        <v>120</v>
      </c>
      <c r="E748">
        <v>0</v>
      </c>
      <c r="F748" t="s">
        <v>217</v>
      </c>
      <c r="G748" t="s">
        <v>118</v>
      </c>
      <c r="H748" t="s">
        <v>117</v>
      </c>
      <c r="I748">
        <v>0.80859623563115701</v>
      </c>
      <c r="K748">
        <v>3</v>
      </c>
      <c r="M748">
        <v>500</v>
      </c>
      <c r="N748" t="s">
        <v>107</v>
      </c>
      <c r="O748" t="s">
        <v>125</v>
      </c>
      <c r="P748">
        <v>28854</v>
      </c>
      <c r="Q748">
        <v>63934</v>
      </c>
      <c r="R748" t="s">
        <v>216</v>
      </c>
      <c r="S748" t="s">
        <v>215</v>
      </c>
    </row>
    <row r="749" spans="1:19" x14ac:dyDescent="0.2">
      <c r="A749" t="s">
        <v>214</v>
      </c>
      <c r="B749" t="s">
        <v>213</v>
      </c>
      <c r="C749">
        <v>20</v>
      </c>
      <c r="D749" t="s">
        <v>120</v>
      </c>
      <c r="E749">
        <v>0</v>
      </c>
      <c r="F749" t="s">
        <v>212</v>
      </c>
      <c r="G749" t="s">
        <v>118</v>
      </c>
      <c r="H749" t="s">
        <v>117</v>
      </c>
      <c r="I749">
        <v>0.99853819555002998</v>
      </c>
      <c r="K749">
        <v>3</v>
      </c>
      <c r="M749">
        <v>309</v>
      </c>
      <c r="N749" t="s">
        <v>107</v>
      </c>
      <c r="O749" t="s">
        <v>125</v>
      </c>
      <c r="P749">
        <v>26897</v>
      </c>
      <c r="Q749">
        <v>340252</v>
      </c>
      <c r="R749" t="s">
        <v>211</v>
      </c>
      <c r="S749" t="s">
        <v>210</v>
      </c>
    </row>
    <row r="750" spans="1:19" x14ac:dyDescent="0.2">
      <c r="A750" t="s">
        <v>209</v>
      </c>
      <c r="B750" t="s">
        <v>206</v>
      </c>
      <c r="C750">
        <v>20</v>
      </c>
      <c r="D750" t="s">
        <v>120</v>
      </c>
      <c r="E750">
        <v>0</v>
      </c>
      <c r="F750" t="s">
        <v>208</v>
      </c>
      <c r="G750" t="s">
        <v>118</v>
      </c>
      <c r="H750" t="s">
        <v>117</v>
      </c>
      <c r="I750">
        <v>0.83819595103338596</v>
      </c>
      <c r="K750">
        <v>3</v>
      </c>
      <c r="M750">
        <v>359</v>
      </c>
      <c r="N750" t="s">
        <v>107</v>
      </c>
      <c r="O750" t="s">
        <v>125</v>
      </c>
      <c r="P750">
        <v>12945</v>
      </c>
      <c r="Q750">
        <v>7562</v>
      </c>
      <c r="R750" t="s">
        <v>204</v>
      </c>
      <c r="S750" t="s">
        <v>203</v>
      </c>
    </row>
    <row r="751" spans="1:19" x14ac:dyDescent="0.2">
      <c r="A751" t="s">
        <v>207</v>
      </c>
      <c r="B751" t="s">
        <v>206</v>
      </c>
      <c r="C751">
        <v>9</v>
      </c>
      <c r="D751" t="s">
        <v>111</v>
      </c>
      <c r="E751">
        <v>1</v>
      </c>
      <c r="F751" t="s">
        <v>205</v>
      </c>
      <c r="G751" t="s">
        <v>118</v>
      </c>
      <c r="H751" t="s">
        <v>117</v>
      </c>
      <c r="I751">
        <v>0.79506471641813103</v>
      </c>
      <c r="K751">
        <v>3</v>
      </c>
      <c r="M751">
        <v>439</v>
      </c>
      <c r="N751" t="s">
        <v>107</v>
      </c>
      <c r="O751" t="s">
        <v>125</v>
      </c>
      <c r="P751">
        <v>12945</v>
      </c>
      <c r="Q751">
        <v>7562</v>
      </c>
      <c r="R751" t="s">
        <v>204</v>
      </c>
      <c r="S751" t="s">
        <v>203</v>
      </c>
    </row>
    <row r="752" spans="1:19" x14ac:dyDescent="0.2">
      <c r="A752" t="s">
        <v>202</v>
      </c>
      <c r="B752" t="s">
        <v>201</v>
      </c>
      <c r="C752">
        <v>19</v>
      </c>
      <c r="D752" t="s">
        <v>111</v>
      </c>
      <c r="E752">
        <v>0</v>
      </c>
      <c r="F752" t="s">
        <v>200</v>
      </c>
      <c r="G752" t="s">
        <v>109</v>
      </c>
      <c r="H752" t="s">
        <v>108</v>
      </c>
      <c r="M752">
        <v>222</v>
      </c>
      <c r="N752" t="s">
        <v>107</v>
      </c>
      <c r="O752" t="s">
        <v>125</v>
      </c>
      <c r="P752">
        <v>22043</v>
      </c>
      <c r="R752" t="s">
        <v>199</v>
      </c>
      <c r="S752" t="s">
        <v>198</v>
      </c>
    </row>
    <row r="753" spans="1:19" x14ac:dyDescent="0.2">
      <c r="A753" t="s">
        <v>197</v>
      </c>
      <c r="B753" t="s">
        <v>196</v>
      </c>
      <c r="C753">
        <v>14</v>
      </c>
      <c r="D753" t="s">
        <v>111</v>
      </c>
      <c r="E753">
        <v>0</v>
      </c>
      <c r="F753" t="s">
        <v>195</v>
      </c>
      <c r="G753" t="s">
        <v>109</v>
      </c>
      <c r="H753" t="s">
        <v>108</v>
      </c>
      <c r="M753">
        <v>2301</v>
      </c>
      <c r="N753" t="s">
        <v>194</v>
      </c>
      <c r="O753" t="s">
        <v>193</v>
      </c>
      <c r="P753">
        <v>27465</v>
      </c>
      <c r="Q753">
        <v>283337</v>
      </c>
      <c r="R753" t="s">
        <v>192</v>
      </c>
      <c r="S753" t="s">
        <v>191</v>
      </c>
    </row>
    <row r="754" spans="1:19" x14ac:dyDescent="0.2">
      <c r="A754" t="s">
        <v>190</v>
      </c>
      <c r="B754" t="s">
        <v>30</v>
      </c>
      <c r="C754">
        <v>20</v>
      </c>
      <c r="D754" t="s">
        <v>120</v>
      </c>
      <c r="E754">
        <v>0</v>
      </c>
      <c r="F754" t="s">
        <v>189</v>
      </c>
      <c r="G754" t="s">
        <v>118</v>
      </c>
      <c r="H754" t="s">
        <v>117</v>
      </c>
      <c r="I754">
        <v>0.88081447673791202</v>
      </c>
      <c r="K754">
        <v>4</v>
      </c>
      <c r="M754">
        <v>424</v>
      </c>
      <c r="N754" t="s">
        <v>107</v>
      </c>
      <c r="O754" t="s">
        <v>125</v>
      </c>
      <c r="P754">
        <v>26273</v>
      </c>
      <c r="Q754">
        <v>79724</v>
      </c>
      <c r="R754" t="s">
        <v>188</v>
      </c>
      <c r="S754" t="s">
        <v>187</v>
      </c>
    </row>
    <row r="755" spans="1:19" x14ac:dyDescent="0.2">
      <c r="A755" t="s">
        <v>186</v>
      </c>
      <c r="B755" t="s">
        <v>183</v>
      </c>
      <c r="C755">
        <v>22</v>
      </c>
      <c r="D755" t="s">
        <v>120</v>
      </c>
      <c r="E755">
        <v>0</v>
      </c>
      <c r="F755" t="s">
        <v>185</v>
      </c>
      <c r="G755" t="s">
        <v>118</v>
      </c>
      <c r="H755" t="s">
        <v>117</v>
      </c>
      <c r="I755">
        <v>0.96872806951119395</v>
      </c>
      <c r="K755">
        <v>3</v>
      </c>
      <c r="M755">
        <v>491</v>
      </c>
      <c r="N755" t="s">
        <v>137</v>
      </c>
      <c r="O755" t="s">
        <v>136</v>
      </c>
      <c r="P755">
        <v>26061</v>
      </c>
      <c r="Q755">
        <v>54989</v>
      </c>
      <c r="R755" t="s">
        <v>181</v>
      </c>
      <c r="S755" t="s">
        <v>180</v>
      </c>
    </row>
    <row r="756" spans="1:19" x14ac:dyDescent="0.2">
      <c r="A756" t="s">
        <v>184</v>
      </c>
      <c r="B756" t="s">
        <v>183</v>
      </c>
      <c r="C756">
        <v>11</v>
      </c>
      <c r="D756" t="s">
        <v>120</v>
      </c>
      <c r="E756">
        <v>1</v>
      </c>
      <c r="F756" t="s">
        <v>182</v>
      </c>
      <c r="G756" t="s">
        <v>118</v>
      </c>
      <c r="H756" t="s">
        <v>117</v>
      </c>
      <c r="I756">
        <v>0.96202850846222598</v>
      </c>
      <c r="K756">
        <v>3</v>
      </c>
      <c r="M756">
        <v>491</v>
      </c>
      <c r="N756" t="s">
        <v>137</v>
      </c>
      <c r="O756" t="s">
        <v>136</v>
      </c>
      <c r="P756">
        <v>26061</v>
      </c>
      <c r="Q756">
        <v>54989</v>
      </c>
      <c r="R756" t="s">
        <v>181</v>
      </c>
      <c r="S756" t="s">
        <v>180</v>
      </c>
    </row>
    <row r="757" spans="1:19" x14ac:dyDescent="0.2">
      <c r="A757" t="s">
        <v>179</v>
      </c>
      <c r="B757" t="s">
        <v>178</v>
      </c>
      <c r="C757">
        <v>11</v>
      </c>
      <c r="D757" t="s">
        <v>111</v>
      </c>
      <c r="E757">
        <v>0</v>
      </c>
      <c r="F757" t="s">
        <v>177</v>
      </c>
      <c r="G757" t="s">
        <v>109</v>
      </c>
      <c r="H757" t="s">
        <v>108</v>
      </c>
      <c r="M757">
        <v>256</v>
      </c>
      <c r="N757" t="s">
        <v>137</v>
      </c>
      <c r="O757" t="s">
        <v>136</v>
      </c>
      <c r="P757">
        <v>33111</v>
      </c>
      <c r="Q757">
        <v>147808</v>
      </c>
      <c r="R757" t="s">
        <v>176</v>
      </c>
      <c r="S757" t="s">
        <v>175</v>
      </c>
    </row>
    <row r="758" spans="1:19" x14ac:dyDescent="0.2">
      <c r="A758" t="s">
        <v>174</v>
      </c>
      <c r="B758" t="s">
        <v>171</v>
      </c>
      <c r="C758">
        <v>21</v>
      </c>
      <c r="D758" t="s">
        <v>120</v>
      </c>
      <c r="E758">
        <v>0</v>
      </c>
      <c r="F758" t="s">
        <v>173</v>
      </c>
      <c r="G758" t="s">
        <v>118</v>
      </c>
      <c r="H758" t="s">
        <v>117</v>
      </c>
      <c r="I758">
        <v>0.94983803325744798</v>
      </c>
      <c r="K758">
        <v>4</v>
      </c>
      <c r="M758">
        <v>430</v>
      </c>
      <c r="N758" t="s">
        <v>107</v>
      </c>
      <c r="O758" t="s">
        <v>169</v>
      </c>
      <c r="P758">
        <v>26995</v>
      </c>
      <c r="Q758">
        <v>125893</v>
      </c>
      <c r="R758" t="s">
        <v>168</v>
      </c>
      <c r="S758" t="s">
        <v>167</v>
      </c>
    </row>
    <row r="759" spans="1:19" x14ac:dyDescent="0.2">
      <c r="A759" t="s">
        <v>172</v>
      </c>
      <c r="B759" t="s">
        <v>171</v>
      </c>
      <c r="C759">
        <v>14</v>
      </c>
      <c r="D759" t="s">
        <v>120</v>
      </c>
      <c r="E759">
        <v>1</v>
      </c>
      <c r="F759" t="s">
        <v>170</v>
      </c>
      <c r="G759" t="s">
        <v>118</v>
      </c>
      <c r="H759" t="s">
        <v>117</v>
      </c>
      <c r="I759">
        <v>0.88825989595045696</v>
      </c>
      <c r="K759">
        <v>4</v>
      </c>
      <c r="M759">
        <v>464</v>
      </c>
      <c r="N759" t="s">
        <v>107</v>
      </c>
      <c r="O759" t="s">
        <v>169</v>
      </c>
      <c r="P759">
        <v>26995</v>
      </c>
      <c r="Q759">
        <v>125893</v>
      </c>
      <c r="R759" t="s">
        <v>168</v>
      </c>
      <c r="S759" t="s">
        <v>167</v>
      </c>
    </row>
    <row r="760" spans="1:19" x14ac:dyDescent="0.2">
      <c r="A760" t="s">
        <v>166</v>
      </c>
      <c r="B760" t="s">
        <v>165</v>
      </c>
      <c r="C760">
        <v>12</v>
      </c>
      <c r="D760" t="s">
        <v>120</v>
      </c>
      <c r="E760">
        <v>0</v>
      </c>
      <c r="F760" t="s">
        <v>164</v>
      </c>
      <c r="G760" t="s">
        <v>118</v>
      </c>
      <c r="H760" t="s">
        <v>117</v>
      </c>
      <c r="I760">
        <v>0.95193949250302101</v>
      </c>
      <c r="K760">
        <v>4</v>
      </c>
      <c r="M760">
        <v>500</v>
      </c>
      <c r="N760" t="s">
        <v>107</v>
      </c>
      <c r="O760" t="s">
        <v>125</v>
      </c>
      <c r="P760">
        <v>12969</v>
      </c>
      <c r="Q760">
        <v>7566</v>
      </c>
      <c r="R760" t="s">
        <v>163</v>
      </c>
      <c r="S760" t="s">
        <v>162</v>
      </c>
    </row>
    <row r="761" spans="1:19" x14ac:dyDescent="0.2">
      <c r="A761" t="s">
        <v>161</v>
      </c>
      <c r="B761" t="s">
        <v>158</v>
      </c>
      <c r="C761">
        <v>24</v>
      </c>
      <c r="D761" t="s">
        <v>120</v>
      </c>
      <c r="E761">
        <v>0</v>
      </c>
      <c r="F761" t="s">
        <v>160</v>
      </c>
      <c r="G761" t="s">
        <v>118</v>
      </c>
      <c r="H761" t="s">
        <v>117</v>
      </c>
      <c r="I761">
        <v>0.89415837911805995</v>
      </c>
      <c r="K761">
        <v>4</v>
      </c>
      <c r="M761">
        <v>349</v>
      </c>
      <c r="N761" t="s">
        <v>107</v>
      </c>
      <c r="O761" t="s">
        <v>156</v>
      </c>
      <c r="P761">
        <v>13107</v>
      </c>
      <c r="Q761">
        <v>7592</v>
      </c>
      <c r="R761" t="s">
        <v>155</v>
      </c>
      <c r="S761" t="s">
        <v>154</v>
      </c>
    </row>
    <row r="762" spans="1:19" x14ac:dyDescent="0.2">
      <c r="A762" t="s">
        <v>159</v>
      </c>
      <c r="B762" t="s">
        <v>158</v>
      </c>
      <c r="C762">
        <v>12</v>
      </c>
      <c r="D762" t="s">
        <v>120</v>
      </c>
      <c r="E762">
        <v>1</v>
      </c>
      <c r="F762" t="s">
        <v>157</v>
      </c>
      <c r="G762" t="s">
        <v>118</v>
      </c>
      <c r="H762" t="s">
        <v>117</v>
      </c>
      <c r="I762">
        <v>0.85435605106743595</v>
      </c>
      <c r="K762">
        <v>4</v>
      </c>
      <c r="M762">
        <v>500</v>
      </c>
      <c r="N762" t="s">
        <v>107</v>
      </c>
      <c r="O762" t="s">
        <v>156</v>
      </c>
      <c r="P762">
        <v>13107</v>
      </c>
      <c r="Q762">
        <v>7592</v>
      </c>
      <c r="R762" t="s">
        <v>155</v>
      </c>
      <c r="S762" t="s">
        <v>154</v>
      </c>
    </row>
    <row r="763" spans="1:19" x14ac:dyDescent="0.2">
      <c r="A763" t="s">
        <v>153</v>
      </c>
      <c r="B763" t="s">
        <v>152</v>
      </c>
      <c r="C763">
        <v>22</v>
      </c>
      <c r="D763" t="s">
        <v>120</v>
      </c>
      <c r="E763">
        <v>0</v>
      </c>
      <c r="F763" t="s">
        <v>151</v>
      </c>
      <c r="G763" t="s">
        <v>118</v>
      </c>
      <c r="H763" t="s">
        <v>117</v>
      </c>
      <c r="I763">
        <v>0.98504619168989505</v>
      </c>
      <c r="K763">
        <v>4</v>
      </c>
      <c r="M763">
        <v>498</v>
      </c>
      <c r="N763" t="s">
        <v>107</v>
      </c>
      <c r="O763" t="s">
        <v>150</v>
      </c>
      <c r="P763">
        <v>13149</v>
      </c>
      <c r="Q763">
        <v>7629</v>
      </c>
      <c r="R763" t="s">
        <v>149</v>
      </c>
      <c r="S763" t="s">
        <v>148</v>
      </c>
    </row>
    <row r="764" spans="1:19" x14ac:dyDescent="0.2">
      <c r="A764" t="s">
        <v>147</v>
      </c>
      <c r="B764" t="s">
        <v>144</v>
      </c>
      <c r="C764">
        <v>20</v>
      </c>
      <c r="D764" t="s">
        <v>120</v>
      </c>
      <c r="E764">
        <v>0</v>
      </c>
      <c r="F764" t="s">
        <v>146</v>
      </c>
      <c r="G764" t="s">
        <v>118</v>
      </c>
      <c r="H764" t="s">
        <v>117</v>
      </c>
      <c r="I764">
        <v>0.89934187841305002</v>
      </c>
      <c r="K764">
        <v>4</v>
      </c>
      <c r="M764">
        <v>500</v>
      </c>
      <c r="N764" t="s">
        <v>107</v>
      </c>
      <c r="O764" t="s">
        <v>125</v>
      </c>
      <c r="P764">
        <v>13160</v>
      </c>
      <c r="Q764">
        <v>7639</v>
      </c>
      <c r="R764" t="s">
        <v>142</v>
      </c>
      <c r="S764" t="s">
        <v>141</v>
      </c>
    </row>
    <row r="765" spans="1:19" x14ac:dyDescent="0.2">
      <c r="A765" t="s">
        <v>145</v>
      </c>
      <c r="B765" t="s">
        <v>144</v>
      </c>
      <c r="C765">
        <v>13</v>
      </c>
      <c r="D765" t="s">
        <v>120</v>
      </c>
      <c r="E765">
        <v>1</v>
      </c>
      <c r="F765" t="s">
        <v>143</v>
      </c>
      <c r="G765" t="s">
        <v>118</v>
      </c>
      <c r="H765" t="s">
        <v>117</v>
      </c>
      <c r="I765">
        <v>0.89618906787943198</v>
      </c>
      <c r="K765">
        <v>4</v>
      </c>
      <c r="M765">
        <v>499</v>
      </c>
      <c r="N765" t="s">
        <v>107</v>
      </c>
      <c r="O765" t="s">
        <v>125</v>
      </c>
      <c r="P765">
        <v>13160</v>
      </c>
      <c r="Q765">
        <v>7639</v>
      </c>
      <c r="R765" t="s">
        <v>142</v>
      </c>
      <c r="S765" t="s">
        <v>141</v>
      </c>
    </row>
    <row r="766" spans="1:19" x14ac:dyDescent="0.2">
      <c r="A766" t="s">
        <v>140</v>
      </c>
      <c r="B766" t="s">
        <v>139</v>
      </c>
      <c r="C766">
        <v>22</v>
      </c>
      <c r="D766" t="s">
        <v>120</v>
      </c>
      <c r="E766">
        <v>0</v>
      </c>
      <c r="F766" t="s">
        <v>138</v>
      </c>
      <c r="G766" t="s">
        <v>118</v>
      </c>
      <c r="H766" t="s">
        <v>117</v>
      </c>
      <c r="I766">
        <v>0.98226982397439699</v>
      </c>
      <c r="K766">
        <v>3</v>
      </c>
      <c r="M766">
        <v>417</v>
      </c>
      <c r="N766" t="s">
        <v>137</v>
      </c>
      <c r="O766" t="s">
        <v>136</v>
      </c>
      <c r="P766">
        <v>13154</v>
      </c>
      <c r="Q766">
        <v>7554</v>
      </c>
      <c r="R766" t="s">
        <v>135</v>
      </c>
      <c r="S766" t="s">
        <v>134</v>
      </c>
    </row>
    <row r="767" spans="1:19" x14ac:dyDescent="0.2">
      <c r="A767" t="s">
        <v>133</v>
      </c>
      <c r="B767" t="s">
        <v>132</v>
      </c>
      <c r="C767">
        <v>20</v>
      </c>
      <c r="D767" t="s">
        <v>111</v>
      </c>
      <c r="E767">
        <v>0</v>
      </c>
      <c r="F767" t="s">
        <v>131</v>
      </c>
      <c r="G767" t="s">
        <v>109</v>
      </c>
      <c r="H767" t="s">
        <v>108</v>
      </c>
      <c r="M767">
        <v>23</v>
      </c>
      <c r="N767" t="s">
        <v>107</v>
      </c>
      <c r="O767" t="s">
        <v>125</v>
      </c>
      <c r="P767">
        <v>20813</v>
      </c>
      <c r="Q767">
        <v>80345</v>
      </c>
      <c r="R767" t="s">
        <v>130</v>
      </c>
      <c r="S767" t="s">
        <v>129</v>
      </c>
    </row>
    <row r="768" spans="1:19" x14ac:dyDescent="0.2">
      <c r="A768" t="s">
        <v>128</v>
      </c>
      <c r="B768" t="s">
        <v>127</v>
      </c>
      <c r="C768">
        <v>16</v>
      </c>
      <c r="D768" t="s">
        <v>120</v>
      </c>
      <c r="E768">
        <v>0</v>
      </c>
      <c r="F768" t="s">
        <v>126</v>
      </c>
      <c r="G768" t="s">
        <v>118</v>
      </c>
      <c r="H768" t="s">
        <v>117</v>
      </c>
      <c r="I768">
        <v>0.93186980390454499</v>
      </c>
      <c r="K768">
        <v>2</v>
      </c>
      <c r="M768">
        <v>476</v>
      </c>
      <c r="N768" t="s">
        <v>107</v>
      </c>
      <c r="O768" t="s">
        <v>125</v>
      </c>
      <c r="P768">
        <v>4929</v>
      </c>
      <c r="Q768">
        <v>342945</v>
      </c>
      <c r="R768" t="s">
        <v>124</v>
      </c>
      <c r="S768" t="s">
        <v>123</v>
      </c>
    </row>
    <row r="769" spans="1:19" x14ac:dyDescent="0.2">
      <c r="A769" t="s">
        <v>122</v>
      </c>
      <c r="B769" t="s">
        <v>121</v>
      </c>
      <c r="C769">
        <v>18</v>
      </c>
      <c r="D769" t="s">
        <v>120</v>
      </c>
      <c r="E769">
        <v>0</v>
      </c>
      <c r="F769" t="s">
        <v>119</v>
      </c>
      <c r="G769" t="s">
        <v>118</v>
      </c>
      <c r="H769" t="s">
        <v>117</v>
      </c>
      <c r="I769">
        <v>0.80241781326601003</v>
      </c>
      <c r="K769">
        <v>4</v>
      </c>
      <c r="M769">
        <v>407</v>
      </c>
      <c r="N769" t="s">
        <v>107</v>
      </c>
      <c r="O769" t="s">
        <v>116</v>
      </c>
      <c r="P769">
        <v>14097</v>
      </c>
      <c r="Q769">
        <v>64288</v>
      </c>
      <c r="R769" t="s">
        <v>115</v>
      </c>
      <c r="S769" t="s">
        <v>114</v>
      </c>
    </row>
    <row r="770" spans="1:19" x14ac:dyDescent="0.2">
      <c r="A770" t="s">
        <v>113</v>
      </c>
      <c r="B770" t="s">
        <v>112</v>
      </c>
      <c r="C770">
        <v>12</v>
      </c>
      <c r="D770" t="s">
        <v>111</v>
      </c>
      <c r="E770">
        <v>0</v>
      </c>
      <c r="F770" t="s">
        <v>110</v>
      </c>
      <c r="G770" t="s">
        <v>109</v>
      </c>
      <c r="H770" t="s">
        <v>108</v>
      </c>
      <c r="M770">
        <v>1158</v>
      </c>
      <c r="N770" t="s">
        <v>107</v>
      </c>
      <c r="O770" t="s">
        <v>106</v>
      </c>
      <c r="P770">
        <v>23709</v>
      </c>
      <c r="Q770">
        <v>201516</v>
      </c>
      <c r="R770" t="s">
        <v>105</v>
      </c>
      <c r="S770" t="s">
        <v>104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50066-8204-B24A-912F-26AE6D588238}">
  <dimension ref="A1:S402"/>
  <sheetViews>
    <sheetView topLeftCell="A44" workbookViewId="0">
      <selection activeCell="D33" sqref="D33"/>
    </sheetView>
  </sheetViews>
  <sheetFormatPr baseColWidth="10" defaultRowHeight="16" x14ac:dyDescent="0.2"/>
  <cols>
    <col min="6" max="6" width="30.33203125" bestFit="1" customWidth="1"/>
    <col min="7" max="7" width="14.83203125" bestFit="1" customWidth="1"/>
  </cols>
  <sheetData>
    <row r="1" spans="1:19" x14ac:dyDescent="0.2">
      <c r="A1" t="s">
        <v>4076</v>
      </c>
      <c r="B1" t="s">
        <v>4075</v>
      </c>
      <c r="C1" t="s">
        <v>4074</v>
      </c>
      <c r="D1" t="s">
        <v>4073</v>
      </c>
      <c r="E1" t="s">
        <v>4072</v>
      </c>
      <c r="F1" t="s">
        <v>4071</v>
      </c>
      <c r="G1" t="s">
        <v>4070</v>
      </c>
      <c r="H1" t="s">
        <v>4069</v>
      </c>
      <c r="I1" t="s">
        <v>4068</v>
      </c>
      <c r="J1" t="s">
        <v>4067</v>
      </c>
      <c r="K1" t="s">
        <v>4066</v>
      </c>
      <c r="L1" t="s">
        <v>4065</v>
      </c>
      <c r="M1" t="s">
        <v>4064</v>
      </c>
      <c r="N1" t="s">
        <v>4063</v>
      </c>
      <c r="O1" t="s">
        <v>4062</v>
      </c>
      <c r="P1" t="s">
        <v>4061</v>
      </c>
      <c r="Q1" t="s">
        <v>4060</v>
      </c>
      <c r="R1" t="s">
        <v>4059</v>
      </c>
      <c r="S1" t="s">
        <v>4058</v>
      </c>
    </row>
    <row r="2" spans="1:19" x14ac:dyDescent="0.2">
      <c r="A2" t="s">
        <v>4057</v>
      </c>
      <c r="B2" t="s">
        <v>4056</v>
      </c>
      <c r="C2">
        <v>9</v>
      </c>
      <c r="D2" t="s">
        <v>388</v>
      </c>
      <c r="E2">
        <v>0</v>
      </c>
      <c r="F2" t="s">
        <v>4055</v>
      </c>
      <c r="G2" t="s">
        <v>229</v>
      </c>
      <c r="H2" t="s">
        <v>228</v>
      </c>
      <c r="M2">
        <v>157</v>
      </c>
      <c r="N2" t="s">
        <v>2929</v>
      </c>
      <c r="O2" t="s">
        <v>2928</v>
      </c>
      <c r="P2">
        <v>348</v>
      </c>
      <c r="Q2">
        <v>196</v>
      </c>
      <c r="R2" t="s">
        <v>4054</v>
      </c>
      <c r="S2" t="s">
        <v>4053</v>
      </c>
    </row>
    <row r="3" spans="1:19" x14ac:dyDescent="0.2">
      <c r="A3" t="s">
        <v>4052</v>
      </c>
      <c r="B3" t="s">
        <v>4051</v>
      </c>
      <c r="C3">
        <v>18</v>
      </c>
      <c r="D3" t="s">
        <v>120</v>
      </c>
      <c r="E3">
        <v>0</v>
      </c>
      <c r="F3" t="s">
        <v>4050</v>
      </c>
      <c r="G3" t="s">
        <v>229</v>
      </c>
      <c r="H3" t="s">
        <v>228</v>
      </c>
      <c r="M3">
        <v>41</v>
      </c>
      <c r="N3" t="s">
        <v>4049</v>
      </c>
      <c r="O3" t="s">
        <v>4048</v>
      </c>
      <c r="P3">
        <v>360</v>
      </c>
      <c r="Q3">
        <v>326</v>
      </c>
      <c r="R3" t="s">
        <v>4047</v>
      </c>
      <c r="S3" t="s">
        <v>4046</v>
      </c>
    </row>
    <row r="4" spans="1:19" x14ac:dyDescent="0.2">
      <c r="A4" t="s">
        <v>4045</v>
      </c>
      <c r="B4" t="s">
        <v>4044</v>
      </c>
      <c r="C4">
        <v>12</v>
      </c>
      <c r="D4" t="s">
        <v>388</v>
      </c>
      <c r="E4">
        <v>0</v>
      </c>
      <c r="F4" t="s">
        <v>4043</v>
      </c>
      <c r="G4" t="s">
        <v>229</v>
      </c>
      <c r="H4" t="s">
        <v>228</v>
      </c>
      <c r="M4">
        <v>33</v>
      </c>
      <c r="N4" t="s">
        <v>671</v>
      </c>
      <c r="O4" t="s">
        <v>4032</v>
      </c>
      <c r="P4">
        <v>1494</v>
      </c>
      <c r="Q4">
        <v>8092</v>
      </c>
      <c r="R4" t="s">
        <v>4042</v>
      </c>
      <c r="S4" t="s">
        <v>4041</v>
      </c>
    </row>
    <row r="5" spans="1:19" x14ac:dyDescent="0.2">
      <c r="A5" t="s">
        <v>4029</v>
      </c>
      <c r="B5" t="s">
        <v>4024</v>
      </c>
      <c r="C5">
        <v>18</v>
      </c>
      <c r="D5" t="s">
        <v>363</v>
      </c>
      <c r="E5">
        <v>0</v>
      </c>
      <c r="F5" t="s">
        <v>4028</v>
      </c>
      <c r="G5" t="s">
        <v>118</v>
      </c>
      <c r="H5" t="s">
        <v>117</v>
      </c>
      <c r="I5">
        <v>0.95983709882508805</v>
      </c>
      <c r="J5">
        <v>0.81079115064208096</v>
      </c>
      <c r="K5">
        <v>461</v>
      </c>
      <c r="L5">
        <v>57</v>
      </c>
      <c r="M5">
        <v>499</v>
      </c>
      <c r="N5" t="s">
        <v>1483</v>
      </c>
      <c r="O5" t="s">
        <v>1482</v>
      </c>
      <c r="P5">
        <v>644</v>
      </c>
      <c r="Q5">
        <v>367</v>
      </c>
      <c r="R5" t="s">
        <v>4022</v>
      </c>
      <c r="S5" t="s">
        <v>4021</v>
      </c>
    </row>
    <row r="6" spans="1:19" x14ac:dyDescent="0.2">
      <c r="A6" t="s">
        <v>4020</v>
      </c>
      <c r="B6" t="s">
        <v>4019</v>
      </c>
      <c r="C6">
        <v>15</v>
      </c>
      <c r="D6" t="s">
        <v>363</v>
      </c>
      <c r="E6">
        <v>0</v>
      </c>
      <c r="F6" t="s">
        <v>4018</v>
      </c>
      <c r="G6" t="s">
        <v>109</v>
      </c>
      <c r="H6" t="s">
        <v>117</v>
      </c>
      <c r="I6">
        <v>0.95556086620420799</v>
      </c>
      <c r="J6">
        <v>0.93658649110427195</v>
      </c>
      <c r="K6">
        <v>13</v>
      </c>
      <c r="L6">
        <v>13</v>
      </c>
      <c r="M6">
        <v>500</v>
      </c>
      <c r="N6" t="s">
        <v>3999</v>
      </c>
      <c r="O6" t="s">
        <v>4017</v>
      </c>
      <c r="P6">
        <v>11742</v>
      </c>
      <c r="Q6">
        <v>7020</v>
      </c>
      <c r="R6" t="s">
        <v>4016</v>
      </c>
      <c r="S6" t="s">
        <v>4015</v>
      </c>
    </row>
    <row r="7" spans="1:19" x14ac:dyDescent="0.2">
      <c r="A7" t="s">
        <v>4014</v>
      </c>
      <c r="B7" t="s">
        <v>4013</v>
      </c>
      <c r="C7">
        <v>10</v>
      </c>
      <c r="D7" t="s">
        <v>388</v>
      </c>
      <c r="E7">
        <v>0</v>
      </c>
      <c r="F7" t="s">
        <v>4012</v>
      </c>
      <c r="G7" t="s">
        <v>229</v>
      </c>
      <c r="H7" t="s">
        <v>228</v>
      </c>
      <c r="M7">
        <v>30</v>
      </c>
      <c r="N7" t="s">
        <v>3999</v>
      </c>
      <c r="O7" t="s">
        <v>4011</v>
      </c>
      <c r="P7">
        <v>11743</v>
      </c>
      <c r="Q7">
        <v>7021</v>
      </c>
      <c r="R7" t="s">
        <v>4010</v>
      </c>
      <c r="S7" t="s">
        <v>4009</v>
      </c>
    </row>
    <row r="8" spans="1:19" x14ac:dyDescent="0.2">
      <c r="A8" t="s">
        <v>4008</v>
      </c>
      <c r="B8" t="s">
        <v>4007</v>
      </c>
      <c r="C8">
        <v>14</v>
      </c>
      <c r="D8" t="s">
        <v>363</v>
      </c>
      <c r="E8">
        <v>0</v>
      </c>
      <c r="F8" t="s">
        <v>4006</v>
      </c>
      <c r="G8" t="s">
        <v>109</v>
      </c>
      <c r="H8" t="s">
        <v>117</v>
      </c>
      <c r="I8">
        <v>0.94994854255535199</v>
      </c>
      <c r="J8">
        <v>0.94118438912674196</v>
      </c>
      <c r="K8">
        <v>18</v>
      </c>
      <c r="L8">
        <v>6</v>
      </c>
      <c r="M8">
        <v>501</v>
      </c>
      <c r="N8" t="s">
        <v>3999</v>
      </c>
      <c r="O8" t="s">
        <v>4005</v>
      </c>
      <c r="P8">
        <v>11744</v>
      </c>
      <c r="Q8">
        <v>7022</v>
      </c>
      <c r="R8" t="s">
        <v>4004</v>
      </c>
      <c r="S8" t="s">
        <v>4003</v>
      </c>
    </row>
    <row r="9" spans="1:19" x14ac:dyDescent="0.2">
      <c r="A9" t="s">
        <v>3989</v>
      </c>
      <c r="B9" t="s">
        <v>3988</v>
      </c>
      <c r="C9">
        <v>13</v>
      </c>
      <c r="D9" t="s">
        <v>120</v>
      </c>
      <c r="E9">
        <v>0</v>
      </c>
      <c r="F9" t="s">
        <v>3987</v>
      </c>
      <c r="G9" t="s">
        <v>229</v>
      </c>
      <c r="H9" t="s">
        <v>228</v>
      </c>
      <c r="M9">
        <v>19</v>
      </c>
      <c r="N9" t="s">
        <v>3986</v>
      </c>
      <c r="O9" t="s">
        <v>3985</v>
      </c>
      <c r="P9">
        <v>17362</v>
      </c>
      <c r="Q9">
        <v>84159</v>
      </c>
      <c r="R9" t="s">
        <v>3984</v>
      </c>
      <c r="S9" t="s">
        <v>3983</v>
      </c>
    </row>
    <row r="10" spans="1:19" x14ac:dyDescent="0.2">
      <c r="A10" t="s">
        <v>3977</v>
      </c>
      <c r="B10" t="s">
        <v>3976</v>
      </c>
      <c r="C10">
        <v>9</v>
      </c>
      <c r="D10" t="s">
        <v>388</v>
      </c>
      <c r="E10">
        <v>0</v>
      </c>
      <c r="F10" t="s">
        <v>3975</v>
      </c>
      <c r="G10" t="s">
        <v>118</v>
      </c>
      <c r="H10" t="s">
        <v>117</v>
      </c>
      <c r="I10">
        <v>0.935776858227643</v>
      </c>
      <c r="K10">
        <v>8</v>
      </c>
      <c r="M10">
        <v>500</v>
      </c>
      <c r="N10" t="s">
        <v>2929</v>
      </c>
      <c r="O10" t="s">
        <v>3743</v>
      </c>
      <c r="P10">
        <v>700</v>
      </c>
      <c r="Q10">
        <v>405</v>
      </c>
      <c r="R10" t="s">
        <v>3974</v>
      </c>
      <c r="S10" t="s">
        <v>3973</v>
      </c>
    </row>
    <row r="11" spans="1:19" x14ac:dyDescent="0.2">
      <c r="A11" t="s">
        <v>3966</v>
      </c>
      <c r="B11" t="s">
        <v>3965</v>
      </c>
      <c r="C11">
        <v>14</v>
      </c>
      <c r="D11" t="s">
        <v>363</v>
      </c>
      <c r="E11">
        <v>0</v>
      </c>
      <c r="F11" t="s">
        <v>3964</v>
      </c>
      <c r="G11" t="s">
        <v>118</v>
      </c>
      <c r="H11" t="s">
        <v>117</v>
      </c>
      <c r="I11">
        <v>0.98549867087778498</v>
      </c>
      <c r="J11">
        <v>0.98049327929651398</v>
      </c>
      <c r="K11">
        <v>30</v>
      </c>
      <c r="L11">
        <v>25</v>
      </c>
      <c r="M11">
        <v>480</v>
      </c>
      <c r="N11" t="s">
        <v>2155</v>
      </c>
      <c r="O11" t="s">
        <v>3958</v>
      </c>
      <c r="P11">
        <v>738</v>
      </c>
      <c r="Q11">
        <v>429</v>
      </c>
      <c r="R11" t="s">
        <v>3963</v>
      </c>
      <c r="S11" t="s">
        <v>3962</v>
      </c>
    </row>
    <row r="12" spans="1:19" x14ac:dyDescent="0.2">
      <c r="A12" t="s">
        <v>3955</v>
      </c>
      <c r="B12" t="s">
        <v>3954</v>
      </c>
      <c r="C12">
        <v>11</v>
      </c>
      <c r="D12" t="s">
        <v>388</v>
      </c>
      <c r="E12">
        <v>0</v>
      </c>
      <c r="F12" t="s">
        <v>3953</v>
      </c>
      <c r="G12" t="s">
        <v>118</v>
      </c>
      <c r="H12" t="s">
        <v>117</v>
      </c>
      <c r="I12">
        <v>0.89168408069196503</v>
      </c>
      <c r="K12">
        <v>6</v>
      </c>
      <c r="M12">
        <v>500</v>
      </c>
      <c r="N12" t="s">
        <v>3684</v>
      </c>
      <c r="O12" t="s">
        <v>3683</v>
      </c>
      <c r="P12">
        <v>783</v>
      </c>
      <c r="Q12">
        <v>466</v>
      </c>
      <c r="R12" t="s">
        <v>3952</v>
      </c>
      <c r="S12" t="s">
        <v>3951</v>
      </c>
    </row>
    <row r="13" spans="1:19" x14ac:dyDescent="0.2">
      <c r="A13" t="s">
        <v>3950</v>
      </c>
      <c r="B13" t="s">
        <v>3945</v>
      </c>
      <c r="C13">
        <v>11</v>
      </c>
      <c r="D13" t="s">
        <v>388</v>
      </c>
      <c r="E13">
        <v>0</v>
      </c>
      <c r="F13" t="s">
        <v>3949</v>
      </c>
      <c r="G13" t="s">
        <v>118</v>
      </c>
      <c r="H13" t="s">
        <v>117</v>
      </c>
      <c r="I13">
        <v>0.75088531984280105</v>
      </c>
      <c r="J13">
        <v>0.84933689403539103</v>
      </c>
      <c r="K13">
        <v>8</v>
      </c>
      <c r="L13">
        <v>4</v>
      </c>
      <c r="M13">
        <v>502</v>
      </c>
      <c r="N13" t="s">
        <v>2082</v>
      </c>
      <c r="O13" t="s">
        <v>3690</v>
      </c>
      <c r="P13">
        <v>784</v>
      </c>
      <c r="Q13">
        <v>1386</v>
      </c>
      <c r="R13" t="s">
        <v>3943</v>
      </c>
      <c r="S13" t="s">
        <v>3942</v>
      </c>
    </row>
    <row r="14" spans="1:19" x14ac:dyDescent="0.2">
      <c r="A14" t="s">
        <v>3941</v>
      </c>
      <c r="B14" t="s">
        <v>3940</v>
      </c>
      <c r="C14">
        <v>11</v>
      </c>
      <c r="D14" t="s">
        <v>363</v>
      </c>
      <c r="E14">
        <v>0</v>
      </c>
      <c r="F14" t="s">
        <v>3939</v>
      </c>
      <c r="G14" t="s">
        <v>118</v>
      </c>
      <c r="H14" t="s">
        <v>117</v>
      </c>
      <c r="I14">
        <v>0.92781847936159101</v>
      </c>
      <c r="J14">
        <v>0.76418011778575801</v>
      </c>
      <c r="K14">
        <v>36</v>
      </c>
      <c r="L14">
        <v>16</v>
      </c>
      <c r="M14">
        <v>505</v>
      </c>
      <c r="N14" t="s">
        <v>2532</v>
      </c>
      <c r="O14" t="s">
        <v>2531</v>
      </c>
      <c r="P14">
        <v>785</v>
      </c>
      <c r="Q14">
        <v>467</v>
      </c>
      <c r="R14" t="s">
        <v>3938</v>
      </c>
      <c r="S14" t="s">
        <v>3937</v>
      </c>
    </row>
    <row r="15" spans="1:19" x14ac:dyDescent="0.2">
      <c r="A15" t="s">
        <v>3936</v>
      </c>
      <c r="B15" t="s">
        <v>3935</v>
      </c>
      <c r="C15">
        <v>12</v>
      </c>
      <c r="D15" t="s">
        <v>363</v>
      </c>
      <c r="E15">
        <v>0</v>
      </c>
      <c r="F15" t="s">
        <v>3934</v>
      </c>
      <c r="G15" t="s">
        <v>118</v>
      </c>
      <c r="H15" t="s">
        <v>117</v>
      </c>
      <c r="I15">
        <v>0.99788200797151205</v>
      </c>
      <c r="J15">
        <v>0.951110494783313</v>
      </c>
      <c r="K15">
        <v>18</v>
      </c>
      <c r="L15">
        <v>9</v>
      </c>
      <c r="M15">
        <v>500</v>
      </c>
      <c r="N15" t="s">
        <v>3933</v>
      </c>
      <c r="O15" t="s">
        <v>3932</v>
      </c>
      <c r="P15">
        <v>786</v>
      </c>
      <c r="Q15">
        <v>468</v>
      </c>
      <c r="R15" t="s">
        <v>3931</v>
      </c>
      <c r="S15" t="s">
        <v>3930</v>
      </c>
    </row>
    <row r="16" spans="1:19" x14ac:dyDescent="0.2">
      <c r="A16" t="s">
        <v>3929</v>
      </c>
      <c r="B16" t="s">
        <v>3928</v>
      </c>
      <c r="C16">
        <v>12</v>
      </c>
      <c r="D16" t="s">
        <v>388</v>
      </c>
      <c r="E16">
        <v>0</v>
      </c>
      <c r="F16" t="s">
        <v>3927</v>
      </c>
      <c r="G16" t="s">
        <v>229</v>
      </c>
      <c r="H16" t="s">
        <v>228</v>
      </c>
      <c r="M16">
        <v>20</v>
      </c>
      <c r="N16" t="s">
        <v>3684</v>
      </c>
      <c r="O16" t="s">
        <v>3926</v>
      </c>
      <c r="P16">
        <v>791</v>
      </c>
      <c r="Q16">
        <v>22926</v>
      </c>
      <c r="R16" t="s">
        <v>3925</v>
      </c>
      <c r="S16" t="s">
        <v>3924</v>
      </c>
    </row>
    <row r="17" spans="1:19" x14ac:dyDescent="0.2">
      <c r="A17" t="s">
        <v>3919</v>
      </c>
      <c r="B17" t="s">
        <v>3918</v>
      </c>
      <c r="C17">
        <v>9</v>
      </c>
      <c r="D17" t="s">
        <v>388</v>
      </c>
      <c r="E17">
        <v>0</v>
      </c>
      <c r="F17" t="s">
        <v>1451</v>
      </c>
      <c r="G17" t="s">
        <v>118</v>
      </c>
      <c r="H17" t="s">
        <v>117</v>
      </c>
      <c r="I17">
        <v>0.75902405110632598</v>
      </c>
      <c r="J17">
        <v>0.98836918124765905</v>
      </c>
      <c r="K17">
        <v>3</v>
      </c>
      <c r="L17">
        <v>4</v>
      </c>
      <c r="M17">
        <v>502</v>
      </c>
      <c r="N17" t="s">
        <v>753</v>
      </c>
      <c r="O17" t="s">
        <v>1815</v>
      </c>
      <c r="P17">
        <v>797</v>
      </c>
      <c r="Q17">
        <v>474</v>
      </c>
      <c r="R17" t="s">
        <v>3917</v>
      </c>
      <c r="S17" t="s">
        <v>3916</v>
      </c>
    </row>
    <row r="18" spans="1:19" x14ac:dyDescent="0.2">
      <c r="A18" t="s">
        <v>3915</v>
      </c>
      <c r="B18" t="s">
        <v>3914</v>
      </c>
      <c r="C18">
        <v>13</v>
      </c>
      <c r="D18" t="s">
        <v>363</v>
      </c>
      <c r="E18">
        <v>0</v>
      </c>
      <c r="F18" t="s">
        <v>3913</v>
      </c>
      <c r="G18" t="s">
        <v>109</v>
      </c>
      <c r="H18" t="s">
        <v>117</v>
      </c>
      <c r="M18">
        <v>502</v>
      </c>
      <c r="N18" t="s">
        <v>2082</v>
      </c>
      <c r="O18" t="s">
        <v>2081</v>
      </c>
      <c r="P18">
        <v>935</v>
      </c>
      <c r="Q18">
        <v>571</v>
      </c>
      <c r="R18" t="s">
        <v>3912</v>
      </c>
      <c r="S18" t="s">
        <v>3911</v>
      </c>
    </row>
    <row r="19" spans="1:19" x14ac:dyDescent="0.2">
      <c r="A19" t="s">
        <v>3910</v>
      </c>
      <c r="B19" t="s">
        <v>3909</v>
      </c>
      <c r="C19">
        <v>11</v>
      </c>
      <c r="D19" t="s">
        <v>363</v>
      </c>
      <c r="E19">
        <v>0</v>
      </c>
      <c r="F19" t="s">
        <v>3908</v>
      </c>
      <c r="G19" t="s">
        <v>118</v>
      </c>
      <c r="H19" t="s">
        <v>117</v>
      </c>
      <c r="I19">
        <v>0.92580702028769402</v>
      </c>
      <c r="J19">
        <v>0.98024126489625596</v>
      </c>
      <c r="K19">
        <v>10</v>
      </c>
      <c r="L19">
        <v>3</v>
      </c>
      <c r="M19">
        <v>500</v>
      </c>
      <c r="N19" t="s">
        <v>2082</v>
      </c>
      <c r="O19" t="s">
        <v>2081</v>
      </c>
      <c r="P19">
        <v>14078</v>
      </c>
      <c r="Q19">
        <v>60468</v>
      </c>
      <c r="R19" t="s">
        <v>3907</v>
      </c>
      <c r="S19" t="s">
        <v>3906</v>
      </c>
    </row>
    <row r="20" spans="1:19" x14ac:dyDescent="0.2">
      <c r="A20" t="s">
        <v>3883</v>
      </c>
      <c r="B20" t="s">
        <v>3882</v>
      </c>
      <c r="C20">
        <v>17</v>
      </c>
      <c r="D20" t="s">
        <v>388</v>
      </c>
      <c r="E20">
        <v>0</v>
      </c>
      <c r="F20" t="s">
        <v>3881</v>
      </c>
      <c r="G20" t="s">
        <v>118</v>
      </c>
      <c r="H20" t="s">
        <v>117</v>
      </c>
      <c r="J20">
        <v>0.96333554298496904</v>
      </c>
      <c r="L20">
        <v>5</v>
      </c>
      <c r="M20">
        <v>500</v>
      </c>
      <c r="N20" t="s">
        <v>3872</v>
      </c>
      <c r="O20" t="s">
        <v>3880</v>
      </c>
      <c r="P20">
        <v>28915</v>
      </c>
      <c r="Q20">
        <v>55509</v>
      </c>
      <c r="R20" t="s">
        <v>3879</v>
      </c>
      <c r="S20" t="s">
        <v>3878</v>
      </c>
    </row>
    <row r="21" spans="1:19" x14ac:dyDescent="0.2">
      <c r="A21" t="s">
        <v>3877</v>
      </c>
      <c r="B21" t="s">
        <v>3874</v>
      </c>
      <c r="C21">
        <v>18</v>
      </c>
      <c r="D21" t="s">
        <v>363</v>
      </c>
      <c r="E21">
        <v>0</v>
      </c>
      <c r="F21" t="s">
        <v>3876</v>
      </c>
      <c r="G21" t="s">
        <v>118</v>
      </c>
      <c r="H21" t="s">
        <v>117</v>
      </c>
      <c r="I21">
        <v>0.96321879020209</v>
      </c>
      <c r="J21">
        <v>0.93788743466015501</v>
      </c>
      <c r="K21">
        <v>10</v>
      </c>
      <c r="L21">
        <v>20</v>
      </c>
      <c r="M21">
        <v>500</v>
      </c>
      <c r="N21" t="s">
        <v>3872</v>
      </c>
      <c r="O21" t="s">
        <v>3871</v>
      </c>
      <c r="P21">
        <v>958</v>
      </c>
      <c r="Q21">
        <v>10538</v>
      </c>
      <c r="R21" t="s">
        <v>3870</v>
      </c>
      <c r="S21" t="s">
        <v>3869</v>
      </c>
    </row>
    <row r="22" spans="1:19" x14ac:dyDescent="0.2">
      <c r="A22" t="s">
        <v>3868</v>
      </c>
      <c r="B22" t="s">
        <v>3867</v>
      </c>
      <c r="C22">
        <v>17</v>
      </c>
      <c r="D22" t="s">
        <v>363</v>
      </c>
      <c r="E22">
        <v>0</v>
      </c>
      <c r="F22" t="s">
        <v>3866</v>
      </c>
      <c r="G22" t="s">
        <v>109</v>
      </c>
      <c r="H22" t="s">
        <v>117</v>
      </c>
      <c r="I22">
        <v>0.89958468147106896</v>
      </c>
      <c r="K22">
        <v>10</v>
      </c>
      <c r="M22">
        <v>500</v>
      </c>
      <c r="N22" t="s">
        <v>137</v>
      </c>
      <c r="O22" t="s">
        <v>3865</v>
      </c>
      <c r="P22">
        <v>13221</v>
      </c>
      <c r="Q22">
        <v>53335</v>
      </c>
      <c r="R22" t="s">
        <v>3864</v>
      </c>
      <c r="S22" t="s">
        <v>3863</v>
      </c>
    </row>
    <row r="23" spans="1:19" x14ac:dyDescent="0.2">
      <c r="A23" t="s">
        <v>3857</v>
      </c>
      <c r="B23" t="s">
        <v>3856</v>
      </c>
      <c r="C23">
        <v>13</v>
      </c>
      <c r="D23" t="s">
        <v>363</v>
      </c>
      <c r="E23">
        <v>0</v>
      </c>
      <c r="F23" t="s">
        <v>3855</v>
      </c>
      <c r="G23" t="s">
        <v>118</v>
      </c>
      <c r="H23" t="s">
        <v>117</v>
      </c>
      <c r="I23">
        <v>0.80230347182361805</v>
      </c>
      <c r="J23">
        <v>0.873591778187085</v>
      </c>
      <c r="K23">
        <v>27</v>
      </c>
      <c r="L23">
        <v>11</v>
      </c>
      <c r="M23">
        <v>500</v>
      </c>
      <c r="N23" t="s">
        <v>107</v>
      </c>
      <c r="O23" t="s">
        <v>3854</v>
      </c>
      <c r="P23">
        <v>1001</v>
      </c>
      <c r="Q23">
        <v>604</v>
      </c>
      <c r="R23" t="s">
        <v>3853</v>
      </c>
      <c r="S23" t="s">
        <v>3852</v>
      </c>
    </row>
    <row r="24" spans="1:19" x14ac:dyDescent="0.2">
      <c r="A24" t="s">
        <v>3851</v>
      </c>
      <c r="B24" t="s">
        <v>3850</v>
      </c>
      <c r="C24">
        <v>11</v>
      </c>
      <c r="D24" t="s">
        <v>388</v>
      </c>
      <c r="E24">
        <v>0</v>
      </c>
      <c r="F24" t="s">
        <v>3849</v>
      </c>
      <c r="G24" t="s">
        <v>118</v>
      </c>
      <c r="H24" t="s">
        <v>117</v>
      </c>
      <c r="J24">
        <v>0.98809676026306004</v>
      </c>
      <c r="L24">
        <v>6</v>
      </c>
      <c r="M24">
        <v>500</v>
      </c>
      <c r="N24" t="s">
        <v>753</v>
      </c>
      <c r="O24" t="s">
        <v>1815</v>
      </c>
      <c r="P24">
        <v>22265</v>
      </c>
      <c r="Q24">
        <v>168620</v>
      </c>
      <c r="R24" t="s">
        <v>3848</v>
      </c>
      <c r="S24" t="s">
        <v>3847</v>
      </c>
    </row>
    <row r="25" spans="1:19" x14ac:dyDescent="0.2">
      <c r="A25" t="s">
        <v>3836</v>
      </c>
      <c r="B25" t="s">
        <v>3835</v>
      </c>
      <c r="C25">
        <v>10</v>
      </c>
      <c r="D25" t="s">
        <v>363</v>
      </c>
      <c r="E25">
        <v>0</v>
      </c>
      <c r="F25" t="s">
        <v>3834</v>
      </c>
      <c r="G25" t="s">
        <v>118</v>
      </c>
      <c r="H25" t="s">
        <v>117</v>
      </c>
      <c r="I25">
        <v>0.85472299489721004</v>
      </c>
      <c r="J25">
        <v>0.95342176358975905</v>
      </c>
      <c r="K25">
        <v>10</v>
      </c>
      <c r="L25">
        <v>5</v>
      </c>
      <c r="M25">
        <v>508</v>
      </c>
      <c r="N25" t="s">
        <v>2947</v>
      </c>
      <c r="O25" t="s">
        <v>2946</v>
      </c>
      <c r="P25">
        <v>1046</v>
      </c>
      <c r="Q25">
        <v>8553</v>
      </c>
      <c r="R25" t="s">
        <v>3833</v>
      </c>
      <c r="S25" t="s">
        <v>3832</v>
      </c>
    </row>
    <row r="26" spans="1:19" x14ac:dyDescent="0.2">
      <c r="A26" t="s">
        <v>3826</v>
      </c>
      <c r="B26" t="s">
        <v>3825</v>
      </c>
      <c r="C26">
        <v>11</v>
      </c>
      <c r="D26" t="s">
        <v>363</v>
      </c>
      <c r="E26">
        <v>0</v>
      </c>
      <c r="F26" t="s">
        <v>3824</v>
      </c>
      <c r="G26" t="s">
        <v>118</v>
      </c>
      <c r="H26" t="s">
        <v>117</v>
      </c>
      <c r="I26">
        <v>0.86415613517611001</v>
      </c>
      <c r="J26">
        <v>0.87506916977139704</v>
      </c>
      <c r="K26">
        <v>18</v>
      </c>
      <c r="L26">
        <v>15</v>
      </c>
      <c r="M26">
        <v>410</v>
      </c>
      <c r="N26" t="s">
        <v>2929</v>
      </c>
      <c r="O26" t="s">
        <v>3743</v>
      </c>
      <c r="P26">
        <v>701</v>
      </c>
      <c r="Q26">
        <v>406</v>
      </c>
      <c r="R26" t="s">
        <v>3823</v>
      </c>
      <c r="S26" t="s">
        <v>3822</v>
      </c>
    </row>
    <row r="27" spans="1:19" x14ac:dyDescent="0.2">
      <c r="A27" t="s">
        <v>3816</v>
      </c>
      <c r="B27" t="s">
        <v>3813</v>
      </c>
      <c r="C27">
        <v>20</v>
      </c>
      <c r="D27" t="s">
        <v>363</v>
      </c>
      <c r="E27">
        <v>0</v>
      </c>
      <c r="F27" t="s">
        <v>3815</v>
      </c>
      <c r="G27" t="s">
        <v>118</v>
      </c>
      <c r="H27" t="s">
        <v>117</v>
      </c>
      <c r="I27">
        <v>0.835236927046628</v>
      </c>
      <c r="J27">
        <v>0.81776071987131504</v>
      </c>
      <c r="K27">
        <v>9</v>
      </c>
      <c r="L27">
        <v>10</v>
      </c>
      <c r="M27">
        <v>500</v>
      </c>
      <c r="N27" t="s">
        <v>951</v>
      </c>
      <c r="O27" t="s">
        <v>3811</v>
      </c>
      <c r="P27">
        <v>11515</v>
      </c>
      <c r="Q27">
        <v>6862</v>
      </c>
      <c r="R27" t="s">
        <v>3810</v>
      </c>
      <c r="S27" t="s">
        <v>3809</v>
      </c>
    </row>
    <row r="28" spans="1:19" x14ac:dyDescent="0.2">
      <c r="A28" t="s">
        <v>3792</v>
      </c>
      <c r="B28" t="s">
        <v>3791</v>
      </c>
      <c r="C28">
        <v>8</v>
      </c>
      <c r="D28" t="s">
        <v>120</v>
      </c>
      <c r="E28">
        <v>0</v>
      </c>
      <c r="F28" t="s">
        <v>3790</v>
      </c>
      <c r="G28" t="s">
        <v>229</v>
      </c>
      <c r="H28" t="s">
        <v>228</v>
      </c>
      <c r="M28">
        <v>30</v>
      </c>
      <c r="N28" t="s">
        <v>1660</v>
      </c>
      <c r="O28" t="s">
        <v>3784</v>
      </c>
      <c r="P28">
        <v>1805</v>
      </c>
      <c r="Q28">
        <v>1044</v>
      </c>
      <c r="R28" t="s">
        <v>3789</v>
      </c>
      <c r="S28" t="s">
        <v>3788</v>
      </c>
    </row>
    <row r="29" spans="1:19" x14ac:dyDescent="0.2">
      <c r="A29" t="s">
        <v>3787</v>
      </c>
      <c r="B29" t="s">
        <v>3786</v>
      </c>
      <c r="C29">
        <v>12</v>
      </c>
      <c r="D29" t="s">
        <v>363</v>
      </c>
      <c r="E29">
        <v>0</v>
      </c>
      <c r="F29" t="s">
        <v>3785</v>
      </c>
      <c r="G29" t="s">
        <v>118</v>
      </c>
      <c r="H29" t="s">
        <v>117</v>
      </c>
      <c r="I29">
        <v>0.92304956541808303</v>
      </c>
      <c r="J29">
        <v>0.98211673663156096</v>
      </c>
      <c r="K29">
        <v>13</v>
      </c>
      <c r="L29">
        <v>23</v>
      </c>
      <c r="M29">
        <v>151</v>
      </c>
      <c r="N29" t="s">
        <v>1660</v>
      </c>
      <c r="O29" t="s">
        <v>3784</v>
      </c>
      <c r="P29">
        <v>1806</v>
      </c>
      <c r="Q29">
        <v>1045</v>
      </c>
      <c r="R29" t="s">
        <v>3783</v>
      </c>
      <c r="S29" t="s">
        <v>3782</v>
      </c>
    </row>
    <row r="30" spans="1:19" x14ac:dyDescent="0.2">
      <c r="A30" t="s">
        <v>3781</v>
      </c>
      <c r="B30" t="s">
        <v>3780</v>
      </c>
      <c r="C30">
        <v>12</v>
      </c>
      <c r="D30" t="s">
        <v>363</v>
      </c>
      <c r="E30">
        <v>0</v>
      </c>
      <c r="F30" t="s">
        <v>3779</v>
      </c>
      <c r="G30" t="s">
        <v>118</v>
      </c>
      <c r="H30" t="s">
        <v>117</v>
      </c>
      <c r="I30">
        <v>0.983375891659651</v>
      </c>
      <c r="J30">
        <v>0.99050255167532597</v>
      </c>
      <c r="K30">
        <v>18</v>
      </c>
      <c r="L30">
        <v>153</v>
      </c>
      <c r="M30">
        <v>500</v>
      </c>
      <c r="N30" t="s">
        <v>869</v>
      </c>
      <c r="O30" t="s">
        <v>3640</v>
      </c>
      <c r="P30">
        <v>1833</v>
      </c>
      <c r="Q30">
        <v>1050</v>
      </c>
      <c r="R30" t="s">
        <v>3778</v>
      </c>
      <c r="S30" t="s">
        <v>3777</v>
      </c>
    </row>
    <row r="31" spans="1:19" x14ac:dyDescent="0.2">
      <c r="A31" t="s">
        <v>3776</v>
      </c>
      <c r="B31" t="s">
        <v>3775</v>
      </c>
      <c r="C31">
        <v>12</v>
      </c>
      <c r="D31" t="s">
        <v>363</v>
      </c>
      <c r="E31">
        <v>0</v>
      </c>
      <c r="F31" t="s">
        <v>3774</v>
      </c>
      <c r="G31" t="s">
        <v>118</v>
      </c>
      <c r="H31" t="s">
        <v>117</v>
      </c>
      <c r="I31">
        <v>0.98145315802316901</v>
      </c>
      <c r="J31">
        <v>0.98531042535475699</v>
      </c>
      <c r="K31">
        <v>65</v>
      </c>
      <c r="L31">
        <v>158</v>
      </c>
      <c r="M31">
        <v>457</v>
      </c>
      <c r="N31" t="s">
        <v>869</v>
      </c>
      <c r="O31" t="s">
        <v>3640</v>
      </c>
      <c r="P31">
        <v>1834</v>
      </c>
      <c r="Q31">
        <v>1051</v>
      </c>
      <c r="R31" t="s">
        <v>3773</v>
      </c>
      <c r="S31" t="s">
        <v>3772</v>
      </c>
    </row>
    <row r="32" spans="1:19" x14ac:dyDescent="0.2">
      <c r="A32" t="s">
        <v>3771</v>
      </c>
      <c r="B32" t="s">
        <v>3770</v>
      </c>
      <c r="C32">
        <v>11</v>
      </c>
      <c r="D32" t="s">
        <v>120</v>
      </c>
      <c r="E32">
        <v>0</v>
      </c>
      <c r="F32" t="s">
        <v>3769</v>
      </c>
      <c r="G32" t="s">
        <v>118</v>
      </c>
      <c r="H32" t="s">
        <v>117</v>
      </c>
      <c r="I32">
        <v>0.83078732289622603</v>
      </c>
      <c r="K32">
        <v>10</v>
      </c>
      <c r="M32">
        <v>500</v>
      </c>
      <c r="N32" t="s">
        <v>869</v>
      </c>
      <c r="O32" t="s">
        <v>3640</v>
      </c>
      <c r="P32">
        <v>1835</v>
      </c>
      <c r="Q32">
        <v>1052</v>
      </c>
      <c r="R32" t="s">
        <v>3768</v>
      </c>
      <c r="S32" t="s">
        <v>3767</v>
      </c>
    </row>
    <row r="33" spans="1:19" x14ac:dyDescent="0.2">
      <c r="A33" t="s">
        <v>3766</v>
      </c>
      <c r="B33" t="s">
        <v>3765</v>
      </c>
      <c r="C33">
        <v>12</v>
      </c>
      <c r="D33" t="s">
        <v>363</v>
      </c>
      <c r="E33">
        <v>0</v>
      </c>
      <c r="F33" t="s">
        <v>3764</v>
      </c>
      <c r="G33" t="s">
        <v>229</v>
      </c>
      <c r="H33" t="s">
        <v>228</v>
      </c>
      <c r="M33">
        <v>803</v>
      </c>
      <c r="N33" t="s">
        <v>869</v>
      </c>
      <c r="O33" t="s">
        <v>3640</v>
      </c>
      <c r="P33">
        <v>1836</v>
      </c>
      <c r="Q33">
        <v>1053</v>
      </c>
      <c r="R33" t="s">
        <v>3763</v>
      </c>
      <c r="S33" t="s">
        <v>3762</v>
      </c>
    </row>
    <row r="34" spans="1:19" x14ac:dyDescent="0.2">
      <c r="A34" t="s">
        <v>3761</v>
      </c>
      <c r="B34" t="s">
        <v>3760</v>
      </c>
      <c r="C34">
        <v>12</v>
      </c>
      <c r="D34" t="s">
        <v>388</v>
      </c>
      <c r="E34">
        <v>0</v>
      </c>
      <c r="F34" t="s">
        <v>3759</v>
      </c>
      <c r="G34" t="s">
        <v>118</v>
      </c>
      <c r="H34" t="s">
        <v>117</v>
      </c>
      <c r="I34">
        <v>0.73813042982246402</v>
      </c>
      <c r="J34">
        <v>0.97173163834518705</v>
      </c>
      <c r="K34">
        <v>2</v>
      </c>
      <c r="L34">
        <v>4</v>
      </c>
      <c r="M34">
        <v>501</v>
      </c>
      <c r="N34" t="s">
        <v>869</v>
      </c>
      <c r="O34" t="s">
        <v>3640</v>
      </c>
      <c r="P34">
        <v>1837</v>
      </c>
      <c r="Q34">
        <v>1054</v>
      </c>
      <c r="R34" t="s">
        <v>3758</v>
      </c>
      <c r="S34" t="s">
        <v>3757</v>
      </c>
    </row>
    <row r="35" spans="1:19" x14ac:dyDescent="0.2">
      <c r="A35" t="s">
        <v>3746</v>
      </c>
      <c r="B35" t="s">
        <v>3745</v>
      </c>
      <c r="C35">
        <v>14</v>
      </c>
      <c r="D35" t="s">
        <v>120</v>
      </c>
      <c r="E35">
        <v>0</v>
      </c>
      <c r="F35" t="s">
        <v>3744</v>
      </c>
      <c r="G35" t="s">
        <v>118</v>
      </c>
      <c r="H35" t="s">
        <v>117</v>
      </c>
      <c r="I35">
        <v>0.65821846974132903</v>
      </c>
      <c r="J35">
        <v>0.73453480640284297</v>
      </c>
      <c r="K35">
        <v>5</v>
      </c>
      <c r="L35">
        <v>22</v>
      </c>
      <c r="M35">
        <v>253</v>
      </c>
      <c r="N35" t="s">
        <v>2929</v>
      </c>
      <c r="O35" t="s">
        <v>3743</v>
      </c>
      <c r="P35">
        <v>2082</v>
      </c>
      <c r="Q35">
        <v>9575</v>
      </c>
      <c r="R35" t="s">
        <v>3742</v>
      </c>
      <c r="S35" t="s">
        <v>3741</v>
      </c>
    </row>
    <row r="36" spans="1:19" x14ac:dyDescent="0.2">
      <c r="A36" t="s">
        <v>3740</v>
      </c>
      <c r="B36" t="s">
        <v>3739</v>
      </c>
      <c r="C36">
        <v>15</v>
      </c>
      <c r="D36" t="s">
        <v>363</v>
      </c>
      <c r="E36">
        <v>0</v>
      </c>
      <c r="F36" t="s">
        <v>3738</v>
      </c>
      <c r="G36" t="s">
        <v>118</v>
      </c>
      <c r="H36" t="s">
        <v>117</v>
      </c>
      <c r="I36">
        <v>0.99417685240091103</v>
      </c>
      <c r="J36">
        <v>0.992194616483698</v>
      </c>
      <c r="K36">
        <v>17</v>
      </c>
      <c r="L36">
        <v>55</v>
      </c>
      <c r="M36">
        <v>500</v>
      </c>
      <c r="N36" t="s">
        <v>3737</v>
      </c>
      <c r="O36" t="s">
        <v>3736</v>
      </c>
      <c r="P36">
        <v>3126</v>
      </c>
      <c r="Q36">
        <v>1879</v>
      </c>
      <c r="R36" t="s">
        <v>3735</v>
      </c>
      <c r="S36" t="s">
        <v>3734</v>
      </c>
    </row>
    <row r="37" spans="1:19" x14ac:dyDescent="0.2">
      <c r="A37" t="s">
        <v>3733</v>
      </c>
      <c r="B37" t="s">
        <v>3730</v>
      </c>
      <c r="C37">
        <v>17</v>
      </c>
      <c r="D37" t="s">
        <v>120</v>
      </c>
      <c r="E37">
        <v>0</v>
      </c>
      <c r="F37" t="s">
        <v>3732</v>
      </c>
      <c r="G37" t="s">
        <v>118</v>
      </c>
      <c r="H37" t="s">
        <v>117</v>
      </c>
      <c r="I37">
        <v>0.87928937121039297</v>
      </c>
      <c r="K37">
        <v>3</v>
      </c>
      <c r="M37">
        <v>501</v>
      </c>
      <c r="N37" t="s">
        <v>1304</v>
      </c>
      <c r="O37" t="s">
        <v>1878</v>
      </c>
      <c r="P37">
        <v>7975</v>
      </c>
      <c r="Q37">
        <v>7025</v>
      </c>
      <c r="R37" t="s">
        <v>3728</v>
      </c>
      <c r="S37" t="s">
        <v>3727</v>
      </c>
    </row>
    <row r="38" spans="1:19" x14ac:dyDescent="0.2">
      <c r="A38" t="s">
        <v>3726</v>
      </c>
      <c r="B38" t="s">
        <v>3723</v>
      </c>
      <c r="C38">
        <v>13</v>
      </c>
      <c r="D38" t="s">
        <v>363</v>
      </c>
      <c r="E38">
        <v>0</v>
      </c>
      <c r="F38" t="s">
        <v>3725</v>
      </c>
      <c r="G38" t="s">
        <v>109</v>
      </c>
      <c r="H38" t="s">
        <v>117</v>
      </c>
      <c r="I38">
        <v>0.93373049812082398</v>
      </c>
      <c r="J38">
        <v>0.83341543174675203</v>
      </c>
      <c r="K38">
        <v>28</v>
      </c>
      <c r="L38">
        <v>3</v>
      </c>
      <c r="M38">
        <v>509</v>
      </c>
      <c r="N38" t="s">
        <v>1304</v>
      </c>
      <c r="O38" t="s">
        <v>1878</v>
      </c>
      <c r="P38">
        <v>7976</v>
      </c>
      <c r="Q38">
        <v>7026</v>
      </c>
      <c r="R38" t="s">
        <v>3721</v>
      </c>
      <c r="S38" t="s">
        <v>3720</v>
      </c>
    </row>
    <row r="39" spans="1:19" x14ac:dyDescent="0.2">
      <c r="A39" t="s">
        <v>3704</v>
      </c>
      <c r="B39" t="s">
        <v>3703</v>
      </c>
      <c r="C39">
        <v>11</v>
      </c>
      <c r="D39" t="s">
        <v>363</v>
      </c>
      <c r="E39">
        <v>0</v>
      </c>
      <c r="F39" t="s">
        <v>3702</v>
      </c>
      <c r="G39" t="s">
        <v>118</v>
      </c>
      <c r="H39" t="s">
        <v>117</v>
      </c>
      <c r="I39">
        <v>0.92678773760245303</v>
      </c>
      <c r="J39">
        <v>0.88827560980398601</v>
      </c>
      <c r="K39">
        <v>63</v>
      </c>
      <c r="L39">
        <v>8</v>
      </c>
      <c r="M39">
        <v>501</v>
      </c>
      <c r="N39" t="s">
        <v>3684</v>
      </c>
      <c r="O39" t="s">
        <v>3683</v>
      </c>
      <c r="P39">
        <v>2345</v>
      </c>
      <c r="Q39">
        <v>1385</v>
      </c>
      <c r="R39" t="s">
        <v>3701</v>
      </c>
      <c r="S39" t="s">
        <v>3700</v>
      </c>
    </row>
    <row r="40" spans="1:19" x14ac:dyDescent="0.2">
      <c r="A40" t="s">
        <v>3687</v>
      </c>
      <c r="B40" t="s">
        <v>3686</v>
      </c>
      <c r="C40">
        <v>11</v>
      </c>
      <c r="D40" t="s">
        <v>120</v>
      </c>
      <c r="E40">
        <v>0</v>
      </c>
      <c r="F40" t="s">
        <v>3685</v>
      </c>
      <c r="G40" t="s">
        <v>229</v>
      </c>
      <c r="H40" t="s">
        <v>228</v>
      </c>
      <c r="M40">
        <v>30</v>
      </c>
      <c r="N40" t="s">
        <v>3684</v>
      </c>
      <c r="O40" t="s">
        <v>3683</v>
      </c>
      <c r="P40">
        <v>2352</v>
      </c>
      <c r="Q40">
        <v>1390</v>
      </c>
      <c r="R40" t="s">
        <v>3682</v>
      </c>
      <c r="S40" t="s">
        <v>3681</v>
      </c>
    </row>
    <row r="41" spans="1:19" x14ac:dyDescent="0.2">
      <c r="A41" t="s">
        <v>3680</v>
      </c>
      <c r="B41" t="s">
        <v>3679</v>
      </c>
      <c r="C41">
        <v>13</v>
      </c>
      <c r="D41" t="s">
        <v>388</v>
      </c>
      <c r="E41">
        <v>0</v>
      </c>
      <c r="F41" t="s">
        <v>3678</v>
      </c>
      <c r="G41" t="s">
        <v>118</v>
      </c>
      <c r="H41" t="s">
        <v>117</v>
      </c>
      <c r="J41">
        <v>0.93346949847897998</v>
      </c>
      <c r="L41">
        <v>8</v>
      </c>
      <c r="M41">
        <v>500</v>
      </c>
      <c r="N41" t="s">
        <v>671</v>
      </c>
      <c r="O41" t="s">
        <v>1787</v>
      </c>
      <c r="P41">
        <v>2383</v>
      </c>
      <c r="Q41">
        <v>1406</v>
      </c>
      <c r="R41" t="s">
        <v>3677</v>
      </c>
      <c r="S41" t="s">
        <v>3676</v>
      </c>
    </row>
    <row r="42" spans="1:19" x14ac:dyDescent="0.2">
      <c r="A42" t="s">
        <v>3675</v>
      </c>
      <c r="B42" t="s">
        <v>3674</v>
      </c>
      <c r="C42">
        <v>17</v>
      </c>
      <c r="D42" t="s">
        <v>363</v>
      </c>
      <c r="E42">
        <v>0</v>
      </c>
      <c r="F42" t="s">
        <v>3673</v>
      </c>
      <c r="G42" t="s">
        <v>118</v>
      </c>
      <c r="H42" t="s">
        <v>117</v>
      </c>
      <c r="I42">
        <v>0.97410013795504102</v>
      </c>
      <c r="J42">
        <v>0.99310185744860202</v>
      </c>
      <c r="K42">
        <v>25</v>
      </c>
      <c r="L42">
        <v>8</v>
      </c>
      <c r="M42">
        <v>450</v>
      </c>
      <c r="N42" t="s">
        <v>107</v>
      </c>
      <c r="O42" t="s">
        <v>3668</v>
      </c>
      <c r="P42">
        <v>16234</v>
      </c>
      <c r="Q42">
        <v>140690</v>
      </c>
      <c r="R42" t="s">
        <v>3672</v>
      </c>
      <c r="S42" t="s">
        <v>3671</v>
      </c>
    </row>
    <row r="43" spans="1:19" x14ac:dyDescent="0.2">
      <c r="A43" t="s">
        <v>3670</v>
      </c>
      <c r="B43" t="s">
        <v>24</v>
      </c>
      <c r="C43">
        <v>19</v>
      </c>
      <c r="D43" t="s">
        <v>363</v>
      </c>
      <c r="E43">
        <v>0</v>
      </c>
      <c r="F43" t="s">
        <v>3669</v>
      </c>
      <c r="G43" t="s">
        <v>118</v>
      </c>
      <c r="H43" t="s">
        <v>117</v>
      </c>
      <c r="I43">
        <v>0.99748841295853896</v>
      </c>
      <c r="J43">
        <v>0.99845941125181903</v>
      </c>
      <c r="K43">
        <v>502</v>
      </c>
      <c r="L43">
        <v>263</v>
      </c>
      <c r="M43">
        <v>500</v>
      </c>
      <c r="N43" t="s">
        <v>107</v>
      </c>
      <c r="O43" t="s">
        <v>3668</v>
      </c>
      <c r="P43">
        <v>13723</v>
      </c>
      <c r="Q43">
        <v>10664</v>
      </c>
      <c r="R43" t="s">
        <v>3667</v>
      </c>
      <c r="S43" t="s">
        <v>3666</v>
      </c>
    </row>
    <row r="44" spans="1:19" x14ac:dyDescent="0.2">
      <c r="A44" t="s">
        <v>3665</v>
      </c>
      <c r="B44" t="s">
        <v>3664</v>
      </c>
      <c r="C44">
        <v>14</v>
      </c>
      <c r="D44" t="s">
        <v>120</v>
      </c>
      <c r="E44">
        <v>0</v>
      </c>
      <c r="F44" t="s">
        <v>3663</v>
      </c>
      <c r="G44" t="s">
        <v>229</v>
      </c>
      <c r="H44" t="s">
        <v>228</v>
      </c>
      <c r="M44">
        <v>97</v>
      </c>
      <c r="N44" t="s">
        <v>1804</v>
      </c>
      <c r="O44" t="s">
        <v>3657</v>
      </c>
      <c r="P44">
        <v>2557</v>
      </c>
      <c r="Q44">
        <v>1523</v>
      </c>
      <c r="R44" t="s">
        <v>3662</v>
      </c>
      <c r="S44" t="s">
        <v>3661</v>
      </c>
    </row>
    <row r="45" spans="1:19" x14ac:dyDescent="0.2">
      <c r="A45" t="s">
        <v>3647</v>
      </c>
      <c r="B45" t="s">
        <v>3646</v>
      </c>
      <c r="C45">
        <v>11</v>
      </c>
      <c r="D45" t="s">
        <v>388</v>
      </c>
      <c r="E45">
        <v>0</v>
      </c>
      <c r="F45" t="s">
        <v>3645</v>
      </c>
      <c r="G45" t="s">
        <v>229</v>
      </c>
      <c r="H45" t="s">
        <v>228</v>
      </c>
      <c r="M45">
        <v>26</v>
      </c>
      <c r="N45" t="s">
        <v>869</v>
      </c>
      <c r="O45" t="s">
        <v>868</v>
      </c>
      <c r="P45">
        <v>2697</v>
      </c>
      <c r="Q45">
        <v>1628</v>
      </c>
      <c r="R45" t="s">
        <v>3644</v>
      </c>
      <c r="S45" t="s">
        <v>3643</v>
      </c>
    </row>
    <row r="46" spans="1:19" x14ac:dyDescent="0.2">
      <c r="A46" t="s">
        <v>3627</v>
      </c>
      <c r="B46" t="s">
        <v>3626</v>
      </c>
      <c r="C46">
        <v>10</v>
      </c>
      <c r="D46" t="s">
        <v>120</v>
      </c>
      <c r="E46">
        <v>0</v>
      </c>
      <c r="F46" t="s">
        <v>3625</v>
      </c>
      <c r="G46" t="s">
        <v>229</v>
      </c>
      <c r="H46" t="s">
        <v>228</v>
      </c>
      <c r="M46">
        <v>35</v>
      </c>
      <c r="N46" t="s">
        <v>691</v>
      </c>
      <c r="O46" t="s">
        <v>3609</v>
      </c>
      <c r="P46">
        <v>2916</v>
      </c>
      <c r="Q46">
        <v>1747</v>
      </c>
      <c r="R46" t="s">
        <v>3624</v>
      </c>
      <c r="S46" t="s">
        <v>3623</v>
      </c>
    </row>
    <row r="47" spans="1:19" x14ac:dyDescent="0.2">
      <c r="A47" t="s">
        <v>3582</v>
      </c>
      <c r="B47" t="s">
        <v>3581</v>
      </c>
      <c r="C47">
        <v>11</v>
      </c>
      <c r="D47" t="s">
        <v>363</v>
      </c>
      <c r="E47">
        <v>0</v>
      </c>
      <c r="F47" t="s">
        <v>3580</v>
      </c>
      <c r="G47" t="s">
        <v>118</v>
      </c>
      <c r="H47" t="s">
        <v>117</v>
      </c>
      <c r="I47">
        <v>0.99581922519258403</v>
      </c>
      <c r="K47">
        <v>5</v>
      </c>
      <c r="M47">
        <v>500</v>
      </c>
      <c r="N47" t="s">
        <v>671</v>
      </c>
      <c r="O47" t="s">
        <v>3574</v>
      </c>
      <c r="P47">
        <v>50800</v>
      </c>
      <c r="Q47">
        <v>100288687</v>
      </c>
      <c r="R47" t="s">
        <v>3579</v>
      </c>
      <c r="S47" t="s">
        <v>3578</v>
      </c>
    </row>
    <row r="48" spans="1:19" x14ac:dyDescent="0.2">
      <c r="A48" t="s">
        <v>3571</v>
      </c>
      <c r="B48" t="s">
        <v>3570</v>
      </c>
      <c r="C48">
        <v>14</v>
      </c>
      <c r="D48" t="s">
        <v>363</v>
      </c>
      <c r="E48">
        <v>0</v>
      </c>
      <c r="F48" t="s">
        <v>3569</v>
      </c>
      <c r="G48" t="s">
        <v>118</v>
      </c>
      <c r="H48" t="s">
        <v>117</v>
      </c>
      <c r="I48">
        <v>0.91894406955013797</v>
      </c>
      <c r="J48">
        <v>0.95795094270084002</v>
      </c>
      <c r="K48">
        <v>80</v>
      </c>
      <c r="L48">
        <v>21</v>
      </c>
      <c r="M48">
        <v>500</v>
      </c>
      <c r="N48" t="s">
        <v>826</v>
      </c>
      <c r="O48" t="s">
        <v>3532</v>
      </c>
      <c r="P48">
        <v>3113</v>
      </c>
      <c r="Q48">
        <v>1869</v>
      </c>
      <c r="R48" t="s">
        <v>3568</v>
      </c>
      <c r="S48" t="s">
        <v>3567</v>
      </c>
    </row>
    <row r="49" spans="1:19" x14ac:dyDescent="0.2">
      <c r="A49" t="s">
        <v>3566</v>
      </c>
      <c r="B49" t="s">
        <v>3565</v>
      </c>
      <c r="C49">
        <v>10</v>
      </c>
      <c r="D49" t="s">
        <v>388</v>
      </c>
      <c r="E49">
        <v>0</v>
      </c>
      <c r="F49" t="s">
        <v>3564</v>
      </c>
      <c r="G49" t="s">
        <v>229</v>
      </c>
      <c r="H49" t="s">
        <v>228</v>
      </c>
      <c r="M49">
        <v>8</v>
      </c>
      <c r="N49" t="s">
        <v>826</v>
      </c>
      <c r="O49" t="s">
        <v>3532</v>
      </c>
      <c r="P49">
        <v>3114</v>
      </c>
      <c r="Q49">
        <v>1870</v>
      </c>
      <c r="R49" t="s">
        <v>3563</v>
      </c>
      <c r="S49" t="s">
        <v>3562</v>
      </c>
    </row>
    <row r="50" spans="1:19" x14ac:dyDescent="0.2">
      <c r="A50" t="s">
        <v>3561</v>
      </c>
      <c r="B50" t="s">
        <v>16</v>
      </c>
      <c r="C50">
        <v>11</v>
      </c>
      <c r="D50" t="s">
        <v>363</v>
      </c>
      <c r="E50">
        <v>0</v>
      </c>
      <c r="F50" t="s">
        <v>3560</v>
      </c>
      <c r="G50" t="s">
        <v>118</v>
      </c>
      <c r="H50" t="s">
        <v>117</v>
      </c>
      <c r="I50">
        <v>0.88761542653258796</v>
      </c>
      <c r="J50">
        <v>0.91631005173637003</v>
      </c>
      <c r="K50">
        <v>3</v>
      </c>
      <c r="L50">
        <v>22</v>
      </c>
      <c r="M50">
        <v>500</v>
      </c>
      <c r="N50" t="s">
        <v>826</v>
      </c>
      <c r="O50" t="s">
        <v>3532</v>
      </c>
      <c r="P50">
        <v>3115</v>
      </c>
      <c r="Q50">
        <v>1871</v>
      </c>
      <c r="R50" t="s">
        <v>3559</v>
      </c>
      <c r="S50" t="s">
        <v>3558</v>
      </c>
    </row>
    <row r="51" spans="1:19" x14ac:dyDescent="0.2">
      <c r="A51" t="s">
        <v>3557</v>
      </c>
      <c r="B51" t="s">
        <v>3554</v>
      </c>
      <c r="C51">
        <v>13</v>
      </c>
      <c r="D51" t="s">
        <v>363</v>
      </c>
      <c r="E51">
        <v>0</v>
      </c>
      <c r="F51" t="s">
        <v>3556</v>
      </c>
      <c r="G51" t="s">
        <v>118</v>
      </c>
      <c r="H51" t="s">
        <v>117</v>
      </c>
      <c r="I51">
        <v>0.955843789893288</v>
      </c>
      <c r="J51">
        <v>0.97749165570265095</v>
      </c>
      <c r="K51">
        <v>15</v>
      </c>
      <c r="L51">
        <v>37</v>
      </c>
      <c r="M51">
        <v>500</v>
      </c>
      <c r="N51" t="s">
        <v>826</v>
      </c>
      <c r="O51" t="s">
        <v>3532</v>
      </c>
      <c r="P51">
        <v>3118</v>
      </c>
      <c r="Q51">
        <v>1874</v>
      </c>
      <c r="R51" t="s">
        <v>3552</v>
      </c>
      <c r="S51" t="s">
        <v>3551</v>
      </c>
    </row>
    <row r="52" spans="1:19" x14ac:dyDescent="0.2">
      <c r="A52" t="s">
        <v>3550</v>
      </c>
      <c r="B52" t="s">
        <v>3549</v>
      </c>
      <c r="C52">
        <v>10</v>
      </c>
      <c r="D52" t="s">
        <v>388</v>
      </c>
      <c r="E52">
        <v>0</v>
      </c>
      <c r="F52" t="s">
        <v>3548</v>
      </c>
      <c r="G52" t="s">
        <v>229</v>
      </c>
      <c r="H52" t="s">
        <v>228</v>
      </c>
      <c r="M52">
        <v>12</v>
      </c>
      <c r="N52" t="s">
        <v>826</v>
      </c>
      <c r="O52" t="s">
        <v>3532</v>
      </c>
      <c r="P52">
        <v>3119</v>
      </c>
      <c r="Q52">
        <v>1875</v>
      </c>
      <c r="R52" t="s">
        <v>3547</v>
      </c>
      <c r="S52" t="s">
        <v>3546</v>
      </c>
    </row>
    <row r="53" spans="1:19" x14ac:dyDescent="0.2">
      <c r="A53" t="s">
        <v>3545</v>
      </c>
      <c r="B53" t="s">
        <v>3544</v>
      </c>
      <c r="C53">
        <v>13</v>
      </c>
      <c r="D53" t="s">
        <v>363</v>
      </c>
      <c r="E53">
        <v>0</v>
      </c>
      <c r="F53" t="s">
        <v>3543</v>
      </c>
      <c r="G53" t="s">
        <v>118</v>
      </c>
      <c r="H53" t="s">
        <v>117</v>
      </c>
      <c r="I53">
        <v>0.90150188069136705</v>
      </c>
      <c r="K53">
        <v>17</v>
      </c>
      <c r="M53">
        <v>500</v>
      </c>
      <c r="N53" t="s">
        <v>826</v>
      </c>
      <c r="O53" t="s">
        <v>3532</v>
      </c>
      <c r="P53">
        <v>3120</v>
      </c>
      <c r="Q53">
        <v>1876</v>
      </c>
      <c r="R53" t="s">
        <v>3542</v>
      </c>
      <c r="S53" t="s">
        <v>3541</v>
      </c>
    </row>
    <row r="54" spans="1:19" x14ac:dyDescent="0.2">
      <c r="A54" t="s">
        <v>3540</v>
      </c>
      <c r="B54" t="s">
        <v>3539</v>
      </c>
      <c r="C54">
        <v>13</v>
      </c>
      <c r="D54" t="s">
        <v>388</v>
      </c>
      <c r="E54">
        <v>0</v>
      </c>
      <c r="F54" t="s">
        <v>3538</v>
      </c>
      <c r="G54" t="s">
        <v>118</v>
      </c>
      <c r="H54" t="s">
        <v>117</v>
      </c>
      <c r="I54">
        <v>0.84585606382831802</v>
      </c>
      <c r="K54">
        <v>16</v>
      </c>
      <c r="M54">
        <v>500</v>
      </c>
      <c r="N54" t="s">
        <v>826</v>
      </c>
      <c r="O54" t="s">
        <v>3532</v>
      </c>
      <c r="P54">
        <v>23820</v>
      </c>
      <c r="Q54">
        <v>144455</v>
      </c>
      <c r="R54" t="s">
        <v>3537</v>
      </c>
      <c r="S54" t="s">
        <v>3536</v>
      </c>
    </row>
    <row r="55" spans="1:19" x14ac:dyDescent="0.2">
      <c r="A55" t="s">
        <v>3525</v>
      </c>
      <c r="B55" t="s">
        <v>3524</v>
      </c>
      <c r="C55">
        <v>17</v>
      </c>
      <c r="D55" t="s">
        <v>363</v>
      </c>
      <c r="E55">
        <v>0</v>
      </c>
      <c r="F55" t="s">
        <v>3523</v>
      </c>
      <c r="G55" t="s">
        <v>118</v>
      </c>
      <c r="H55" t="s">
        <v>117</v>
      </c>
      <c r="I55">
        <v>0.98881540666603696</v>
      </c>
      <c r="J55">
        <v>0.98118186549626696</v>
      </c>
      <c r="K55">
        <v>36</v>
      </c>
      <c r="L55">
        <v>12</v>
      </c>
      <c r="M55">
        <v>500</v>
      </c>
      <c r="N55" t="s">
        <v>1101</v>
      </c>
      <c r="O55" t="s">
        <v>3505</v>
      </c>
      <c r="P55">
        <v>3238</v>
      </c>
      <c r="Q55">
        <v>1958</v>
      </c>
      <c r="R55" t="s">
        <v>3522</v>
      </c>
      <c r="S55" t="s">
        <v>3521</v>
      </c>
    </row>
    <row r="56" spans="1:19" x14ac:dyDescent="0.2">
      <c r="A56" t="s">
        <v>3520</v>
      </c>
      <c r="B56" t="s">
        <v>3517</v>
      </c>
      <c r="C56">
        <v>18</v>
      </c>
      <c r="D56" t="s">
        <v>363</v>
      </c>
      <c r="E56">
        <v>0</v>
      </c>
      <c r="F56" t="s">
        <v>3519</v>
      </c>
      <c r="G56" t="s">
        <v>118</v>
      </c>
      <c r="H56" t="s">
        <v>117</v>
      </c>
      <c r="I56">
        <v>0.98742987801404503</v>
      </c>
      <c r="J56">
        <v>0.962855883412153</v>
      </c>
      <c r="K56">
        <v>4</v>
      </c>
      <c r="L56">
        <v>25</v>
      </c>
      <c r="M56">
        <v>507</v>
      </c>
      <c r="N56" t="s">
        <v>1101</v>
      </c>
      <c r="O56" t="s">
        <v>3505</v>
      </c>
      <c r="P56">
        <v>3239</v>
      </c>
      <c r="Q56">
        <v>1959</v>
      </c>
      <c r="R56" t="s">
        <v>3515</v>
      </c>
      <c r="S56" t="s">
        <v>3514</v>
      </c>
    </row>
    <row r="57" spans="1:19" x14ac:dyDescent="0.2">
      <c r="A57" t="s">
        <v>3502</v>
      </c>
      <c r="B57" t="s">
        <v>3501</v>
      </c>
      <c r="C57">
        <v>15</v>
      </c>
      <c r="D57" t="s">
        <v>388</v>
      </c>
      <c r="E57">
        <v>0</v>
      </c>
      <c r="F57" t="s">
        <v>3500</v>
      </c>
      <c r="G57" t="s">
        <v>118</v>
      </c>
      <c r="H57" t="s">
        <v>117</v>
      </c>
      <c r="I57">
        <v>0.96623257050131905</v>
      </c>
      <c r="J57">
        <v>0.65387072825899395</v>
      </c>
      <c r="K57">
        <v>5</v>
      </c>
      <c r="L57">
        <v>3</v>
      </c>
      <c r="M57">
        <v>500</v>
      </c>
      <c r="N57" t="s">
        <v>1078</v>
      </c>
      <c r="O57" t="s">
        <v>3478</v>
      </c>
      <c r="P57">
        <v>3246</v>
      </c>
      <c r="Q57">
        <v>26298</v>
      </c>
      <c r="R57" t="s">
        <v>3499</v>
      </c>
      <c r="S57" t="s">
        <v>3498</v>
      </c>
    </row>
    <row r="58" spans="1:19" x14ac:dyDescent="0.2">
      <c r="A58" t="s">
        <v>3497</v>
      </c>
      <c r="B58" t="s">
        <v>3496</v>
      </c>
      <c r="C58">
        <v>14</v>
      </c>
      <c r="D58" t="s">
        <v>363</v>
      </c>
      <c r="E58">
        <v>0</v>
      </c>
      <c r="F58" t="s">
        <v>3495</v>
      </c>
      <c r="G58" t="s">
        <v>118</v>
      </c>
      <c r="H58" t="s">
        <v>117</v>
      </c>
      <c r="I58">
        <v>0.99154653912813195</v>
      </c>
      <c r="J58">
        <v>0.97523042680987404</v>
      </c>
      <c r="K58">
        <v>43</v>
      </c>
      <c r="L58">
        <v>5</v>
      </c>
      <c r="M58">
        <v>500</v>
      </c>
      <c r="N58" t="s">
        <v>1078</v>
      </c>
      <c r="O58" t="s">
        <v>3489</v>
      </c>
      <c r="P58">
        <v>3316</v>
      </c>
      <c r="Q58">
        <v>1997</v>
      </c>
      <c r="R58" t="s">
        <v>3494</v>
      </c>
      <c r="S58" t="s">
        <v>3493</v>
      </c>
    </row>
    <row r="59" spans="1:19" x14ac:dyDescent="0.2">
      <c r="A59" t="s">
        <v>3492</v>
      </c>
      <c r="B59" t="s">
        <v>3491</v>
      </c>
      <c r="C59">
        <v>13</v>
      </c>
      <c r="D59" t="s">
        <v>120</v>
      </c>
      <c r="E59">
        <v>0</v>
      </c>
      <c r="F59" t="s">
        <v>3490</v>
      </c>
      <c r="G59" t="s">
        <v>118</v>
      </c>
      <c r="H59" t="s">
        <v>117</v>
      </c>
      <c r="I59">
        <v>0.89333422118454597</v>
      </c>
      <c r="K59">
        <v>2</v>
      </c>
      <c r="M59">
        <v>500</v>
      </c>
      <c r="N59" t="s">
        <v>1078</v>
      </c>
      <c r="O59" t="s">
        <v>3489</v>
      </c>
      <c r="P59">
        <v>3317</v>
      </c>
      <c r="Q59">
        <v>1998</v>
      </c>
      <c r="R59" t="s">
        <v>3488</v>
      </c>
      <c r="S59" t="s">
        <v>3487</v>
      </c>
    </row>
    <row r="60" spans="1:19" x14ac:dyDescent="0.2">
      <c r="A60" t="s">
        <v>3486</v>
      </c>
      <c r="B60" t="s">
        <v>3485</v>
      </c>
      <c r="C60">
        <v>14</v>
      </c>
      <c r="D60" t="s">
        <v>363</v>
      </c>
      <c r="E60">
        <v>0</v>
      </c>
      <c r="F60" t="s">
        <v>3484</v>
      </c>
      <c r="G60" t="s">
        <v>118</v>
      </c>
      <c r="H60" t="s">
        <v>117</v>
      </c>
      <c r="I60">
        <v>0.97943060474626997</v>
      </c>
      <c r="K60">
        <v>11</v>
      </c>
      <c r="M60">
        <v>500</v>
      </c>
      <c r="N60" t="s">
        <v>1078</v>
      </c>
      <c r="O60" t="s">
        <v>3478</v>
      </c>
      <c r="P60">
        <v>3318</v>
      </c>
      <c r="Q60">
        <v>1999</v>
      </c>
      <c r="R60" t="s">
        <v>3483</v>
      </c>
      <c r="S60" t="s">
        <v>3482</v>
      </c>
    </row>
    <row r="61" spans="1:19" x14ac:dyDescent="0.2">
      <c r="A61" t="s">
        <v>3481</v>
      </c>
      <c r="B61" t="s">
        <v>3480</v>
      </c>
      <c r="C61">
        <v>15</v>
      </c>
      <c r="D61" t="s">
        <v>363</v>
      </c>
      <c r="E61">
        <v>0</v>
      </c>
      <c r="F61" t="s">
        <v>3479</v>
      </c>
      <c r="G61" t="s">
        <v>118</v>
      </c>
      <c r="H61" t="s">
        <v>117</v>
      </c>
      <c r="I61">
        <v>0.98531388146514398</v>
      </c>
      <c r="J61">
        <v>0.93029487034689395</v>
      </c>
      <c r="K61">
        <v>3</v>
      </c>
      <c r="L61">
        <v>12</v>
      </c>
      <c r="M61">
        <v>500</v>
      </c>
      <c r="N61" t="s">
        <v>1078</v>
      </c>
      <c r="O61" t="s">
        <v>3478</v>
      </c>
      <c r="P61">
        <v>3320</v>
      </c>
      <c r="Q61">
        <v>2001</v>
      </c>
      <c r="R61" t="s">
        <v>3477</v>
      </c>
      <c r="S61" t="s">
        <v>3476</v>
      </c>
    </row>
    <row r="62" spans="1:19" x14ac:dyDescent="0.2">
      <c r="A62" t="s">
        <v>3475</v>
      </c>
      <c r="B62" t="s">
        <v>3474</v>
      </c>
      <c r="C62">
        <v>11</v>
      </c>
      <c r="D62" t="s">
        <v>388</v>
      </c>
      <c r="E62">
        <v>0</v>
      </c>
      <c r="F62" t="s">
        <v>3473</v>
      </c>
      <c r="G62" t="s">
        <v>118</v>
      </c>
      <c r="H62" t="s">
        <v>117</v>
      </c>
      <c r="I62">
        <v>0.979805022727671</v>
      </c>
      <c r="J62">
        <v>0.682676887760157</v>
      </c>
      <c r="K62">
        <v>4</v>
      </c>
      <c r="L62">
        <v>7</v>
      </c>
      <c r="M62">
        <v>500</v>
      </c>
      <c r="N62" t="s">
        <v>1078</v>
      </c>
      <c r="O62" t="s">
        <v>3366</v>
      </c>
      <c r="P62">
        <v>3321</v>
      </c>
      <c r="Q62">
        <v>2002</v>
      </c>
      <c r="R62" t="s">
        <v>3472</v>
      </c>
      <c r="S62" t="s">
        <v>3471</v>
      </c>
    </row>
    <row r="63" spans="1:19" x14ac:dyDescent="0.2">
      <c r="A63" t="s">
        <v>3465</v>
      </c>
      <c r="B63" t="s">
        <v>3464</v>
      </c>
      <c r="C63">
        <v>12</v>
      </c>
      <c r="D63" t="s">
        <v>363</v>
      </c>
      <c r="E63">
        <v>0</v>
      </c>
      <c r="F63" t="s">
        <v>3463</v>
      </c>
      <c r="G63" t="s">
        <v>118</v>
      </c>
      <c r="H63" t="s">
        <v>117</v>
      </c>
      <c r="I63">
        <v>0.96613429481301105</v>
      </c>
      <c r="J63">
        <v>0.63759355423497399</v>
      </c>
      <c r="K63">
        <v>13</v>
      </c>
      <c r="L63">
        <v>4</v>
      </c>
      <c r="M63">
        <v>500</v>
      </c>
      <c r="N63" t="s">
        <v>1078</v>
      </c>
      <c r="O63" t="s">
        <v>3366</v>
      </c>
      <c r="P63">
        <v>3326</v>
      </c>
      <c r="Q63">
        <v>2005</v>
      </c>
      <c r="R63" t="s">
        <v>3462</v>
      </c>
      <c r="S63" t="s">
        <v>3461</v>
      </c>
    </row>
    <row r="64" spans="1:19" x14ac:dyDescent="0.2">
      <c r="A64" t="s">
        <v>3443</v>
      </c>
      <c r="B64" t="s">
        <v>89</v>
      </c>
      <c r="C64">
        <v>9</v>
      </c>
      <c r="D64" t="s">
        <v>388</v>
      </c>
      <c r="E64">
        <v>0</v>
      </c>
      <c r="F64" t="s">
        <v>3442</v>
      </c>
      <c r="G64" t="s">
        <v>118</v>
      </c>
      <c r="H64" t="s">
        <v>117</v>
      </c>
      <c r="I64">
        <v>0.83762303225097601</v>
      </c>
      <c r="K64">
        <v>24</v>
      </c>
      <c r="M64">
        <v>500</v>
      </c>
      <c r="N64" t="s">
        <v>2929</v>
      </c>
      <c r="O64" t="s">
        <v>2928</v>
      </c>
      <c r="P64">
        <v>3374</v>
      </c>
      <c r="Q64">
        <v>2034</v>
      </c>
      <c r="R64" t="s">
        <v>3441</v>
      </c>
      <c r="S64" t="s">
        <v>3440</v>
      </c>
    </row>
    <row r="65" spans="1:19" x14ac:dyDescent="0.2">
      <c r="A65" t="s">
        <v>3439</v>
      </c>
      <c r="B65" t="s">
        <v>3438</v>
      </c>
      <c r="C65">
        <v>13</v>
      </c>
      <c r="D65" t="s">
        <v>363</v>
      </c>
      <c r="E65">
        <v>0</v>
      </c>
      <c r="F65" t="s">
        <v>3437</v>
      </c>
      <c r="G65" t="s">
        <v>118</v>
      </c>
      <c r="H65" t="s">
        <v>117</v>
      </c>
      <c r="I65">
        <v>0.98354122872542404</v>
      </c>
      <c r="J65">
        <v>0.87738693170872895</v>
      </c>
      <c r="K65">
        <v>79</v>
      </c>
      <c r="L65">
        <v>16</v>
      </c>
      <c r="M65">
        <v>500</v>
      </c>
      <c r="N65" t="s">
        <v>1078</v>
      </c>
      <c r="O65" t="s">
        <v>3145</v>
      </c>
      <c r="P65">
        <v>3446</v>
      </c>
      <c r="Q65">
        <v>2078</v>
      </c>
      <c r="R65" t="s">
        <v>3436</v>
      </c>
      <c r="S65" t="s">
        <v>3435</v>
      </c>
    </row>
    <row r="66" spans="1:19" x14ac:dyDescent="0.2">
      <c r="A66" t="s">
        <v>3434</v>
      </c>
      <c r="B66" t="s">
        <v>3433</v>
      </c>
      <c r="C66">
        <v>15</v>
      </c>
      <c r="D66" t="s">
        <v>363</v>
      </c>
      <c r="E66">
        <v>0</v>
      </c>
      <c r="F66" t="s">
        <v>3432</v>
      </c>
      <c r="G66" t="s">
        <v>118</v>
      </c>
      <c r="H66" t="s">
        <v>117</v>
      </c>
      <c r="I66">
        <v>0.95621026361209804</v>
      </c>
      <c r="J66">
        <v>0.97415512173755003</v>
      </c>
      <c r="K66">
        <v>31</v>
      </c>
      <c r="L66">
        <v>3</v>
      </c>
      <c r="M66">
        <v>284</v>
      </c>
      <c r="N66" t="s">
        <v>1483</v>
      </c>
      <c r="O66" t="s">
        <v>3407</v>
      </c>
      <c r="P66">
        <v>3471</v>
      </c>
      <c r="Q66">
        <v>2101</v>
      </c>
      <c r="R66" t="s">
        <v>3431</v>
      </c>
      <c r="S66" t="s">
        <v>3430</v>
      </c>
    </row>
    <row r="67" spans="1:19" x14ac:dyDescent="0.2">
      <c r="A67" t="s">
        <v>3429</v>
      </c>
      <c r="B67" t="s">
        <v>3428</v>
      </c>
      <c r="C67">
        <v>9</v>
      </c>
      <c r="D67" t="s">
        <v>363</v>
      </c>
      <c r="E67">
        <v>0</v>
      </c>
      <c r="F67" t="s">
        <v>3427</v>
      </c>
      <c r="G67" t="s">
        <v>229</v>
      </c>
      <c r="H67" t="s">
        <v>228</v>
      </c>
      <c r="M67">
        <v>3687</v>
      </c>
      <c r="N67" t="s">
        <v>1483</v>
      </c>
      <c r="O67" t="s">
        <v>3407</v>
      </c>
      <c r="P67">
        <v>3473</v>
      </c>
      <c r="Q67">
        <v>2103</v>
      </c>
      <c r="R67" t="s">
        <v>3426</v>
      </c>
      <c r="S67" t="s">
        <v>3425</v>
      </c>
    </row>
    <row r="68" spans="1:19" x14ac:dyDescent="0.2">
      <c r="A68" t="s">
        <v>3424</v>
      </c>
      <c r="B68" t="s">
        <v>3423</v>
      </c>
      <c r="C68">
        <v>9</v>
      </c>
      <c r="D68" t="s">
        <v>388</v>
      </c>
      <c r="E68">
        <v>0</v>
      </c>
      <c r="F68" t="s">
        <v>3422</v>
      </c>
      <c r="G68" t="s">
        <v>229</v>
      </c>
      <c r="H68" t="s">
        <v>228</v>
      </c>
      <c r="M68">
        <v>14</v>
      </c>
      <c r="N68" t="s">
        <v>1483</v>
      </c>
      <c r="O68" t="s">
        <v>3407</v>
      </c>
      <c r="P68">
        <v>3474</v>
      </c>
      <c r="Q68">
        <v>2104</v>
      </c>
      <c r="R68" t="s">
        <v>3421</v>
      </c>
      <c r="S68" t="s">
        <v>3420</v>
      </c>
    </row>
    <row r="69" spans="1:19" x14ac:dyDescent="0.2">
      <c r="A69" t="s">
        <v>3419</v>
      </c>
      <c r="B69" t="s">
        <v>3416</v>
      </c>
      <c r="C69">
        <v>15</v>
      </c>
      <c r="D69" t="s">
        <v>363</v>
      </c>
      <c r="E69">
        <v>0</v>
      </c>
      <c r="F69" t="s">
        <v>3418</v>
      </c>
      <c r="G69" t="s">
        <v>118</v>
      </c>
      <c r="H69" t="s">
        <v>117</v>
      </c>
      <c r="I69">
        <v>0.97131728531738004</v>
      </c>
      <c r="J69">
        <v>0.99475680022732504</v>
      </c>
      <c r="K69">
        <v>432</v>
      </c>
      <c r="L69">
        <v>58</v>
      </c>
      <c r="M69">
        <v>500</v>
      </c>
      <c r="N69" t="s">
        <v>1483</v>
      </c>
      <c r="O69" t="s">
        <v>3407</v>
      </c>
      <c r="P69">
        <v>3467</v>
      </c>
      <c r="Q69">
        <v>2099</v>
      </c>
      <c r="R69" t="s">
        <v>3414</v>
      </c>
      <c r="S69" t="s">
        <v>3413</v>
      </c>
    </row>
    <row r="70" spans="1:19" x14ac:dyDescent="0.2">
      <c r="A70" t="s">
        <v>3412</v>
      </c>
      <c r="B70" t="s">
        <v>3409</v>
      </c>
      <c r="C70">
        <v>15</v>
      </c>
      <c r="D70" t="s">
        <v>363</v>
      </c>
      <c r="E70">
        <v>0</v>
      </c>
      <c r="F70" t="s">
        <v>3411</v>
      </c>
      <c r="G70" t="s">
        <v>118</v>
      </c>
      <c r="H70" t="s">
        <v>117</v>
      </c>
      <c r="I70">
        <v>0.94398167470634797</v>
      </c>
      <c r="J70">
        <v>0.94076371177992502</v>
      </c>
      <c r="K70">
        <v>11</v>
      </c>
      <c r="L70">
        <v>7</v>
      </c>
      <c r="M70">
        <v>497</v>
      </c>
      <c r="N70" t="s">
        <v>1483</v>
      </c>
      <c r="O70" t="s">
        <v>3407</v>
      </c>
      <c r="P70">
        <v>3468</v>
      </c>
      <c r="Q70">
        <v>2100</v>
      </c>
      <c r="R70" t="s">
        <v>3406</v>
      </c>
      <c r="S70" t="s">
        <v>3405</v>
      </c>
    </row>
    <row r="71" spans="1:19" x14ac:dyDescent="0.2">
      <c r="A71" t="s">
        <v>3398</v>
      </c>
      <c r="B71" t="s">
        <v>3397</v>
      </c>
      <c r="C71">
        <v>13</v>
      </c>
      <c r="D71" t="s">
        <v>363</v>
      </c>
      <c r="E71">
        <v>0</v>
      </c>
      <c r="F71" t="s">
        <v>3396</v>
      </c>
      <c r="G71" t="s">
        <v>118</v>
      </c>
      <c r="H71" t="s">
        <v>117</v>
      </c>
      <c r="I71">
        <v>0.962713402592701</v>
      </c>
      <c r="J71">
        <v>0.92738686342605103</v>
      </c>
      <c r="K71">
        <v>45</v>
      </c>
      <c r="L71">
        <v>33</v>
      </c>
      <c r="M71">
        <v>500</v>
      </c>
      <c r="N71" t="s">
        <v>1078</v>
      </c>
      <c r="O71" t="s">
        <v>3145</v>
      </c>
      <c r="P71">
        <v>3488</v>
      </c>
      <c r="Q71">
        <v>2113</v>
      </c>
      <c r="R71" t="s">
        <v>3395</v>
      </c>
      <c r="S71" t="s">
        <v>3394</v>
      </c>
    </row>
    <row r="72" spans="1:19" x14ac:dyDescent="0.2">
      <c r="A72" t="s">
        <v>3393</v>
      </c>
      <c r="B72" t="s">
        <v>71</v>
      </c>
      <c r="C72">
        <v>13</v>
      </c>
      <c r="D72" t="s">
        <v>388</v>
      </c>
      <c r="E72">
        <v>0</v>
      </c>
      <c r="F72" t="s">
        <v>3392</v>
      </c>
      <c r="G72" t="s">
        <v>118</v>
      </c>
      <c r="H72" t="s">
        <v>117</v>
      </c>
      <c r="J72">
        <v>0.83633647130174904</v>
      </c>
      <c r="L72">
        <v>12</v>
      </c>
      <c r="M72">
        <v>500</v>
      </c>
      <c r="N72" t="s">
        <v>1078</v>
      </c>
      <c r="O72" t="s">
        <v>3145</v>
      </c>
      <c r="P72">
        <v>3489</v>
      </c>
      <c r="Q72">
        <v>2114</v>
      </c>
      <c r="R72" t="s">
        <v>3391</v>
      </c>
      <c r="S72" t="s">
        <v>3390</v>
      </c>
    </row>
    <row r="73" spans="1:19" x14ac:dyDescent="0.2">
      <c r="A73" t="s">
        <v>3389</v>
      </c>
      <c r="B73" t="s">
        <v>3388</v>
      </c>
      <c r="C73">
        <v>11</v>
      </c>
      <c r="D73" t="s">
        <v>363</v>
      </c>
      <c r="E73">
        <v>0</v>
      </c>
      <c r="F73" t="s">
        <v>3387</v>
      </c>
      <c r="G73" t="s">
        <v>118</v>
      </c>
      <c r="H73" t="s">
        <v>117</v>
      </c>
      <c r="I73">
        <v>0.94125045166576304</v>
      </c>
      <c r="K73">
        <v>8</v>
      </c>
      <c r="M73">
        <v>500</v>
      </c>
      <c r="N73" t="s">
        <v>1078</v>
      </c>
      <c r="O73" t="s">
        <v>3366</v>
      </c>
      <c r="P73">
        <v>3490</v>
      </c>
      <c r="Q73">
        <v>2115</v>
      </c>
      <c r="R73" t="s">
        <v>3386</v>
      </c>
      <c r="S73" t="s">
        <v>3385</v>
      </c>
    </row>
    <row r="74" spans="1:19" x14ac:dyDescent="0.2">
      <c r="A74" t="s">
        <v>3384</v>
      </c>
      <c r="B74" t="s">
        <v>3383</v>
      </c>
      <c r="C74">
        <v>16</v>
      </c>
      <c r="D74" t="s">
        <v>388</v>
      </c>
      <c r="E74">
        <v>0</v>
      </c>
      <c r="F74" t="s">
        <v>3382</v>
      </c>
      <c r="G74" t="s">
        <v>118</v>
      </c>
      <c r="H74" t="s">
        <v>117</v>
      </c>
      <c r="J74">
        <v>0.98085301082402798</v>
      </c>
      <c r="L74">
        <v>6</v>
      </c>
      <c r="M74">
        <v>230</v>
      </c>
      <c r="N74" t="s">
        <v>1078</v>
      </c>
      <c r="O74" t="s">
        <v>3145</v>
      </c>
      <c r="P74">
        <v>3491</v>
      </c>
      <c r="Q74">
        <v>2116</v>
      </c>
      <c r="R74" t="s">
        <v>3381</v>
      </c>
      <c r="S74" t="s">
        <v>3380</v>
      </c>
    </row>
    <row r="75" spans="1:19" x14ac:dyDescent="0.2">
      <c r="A75" t="s">
        <v>3374</v>
      </c>
      <c r="B75" t="s">
        <v>3373</v>
      </c>
      <c r="C75">
        <v>11</v>
      </c>
      <c r="D75" t="s">
        <v>388</v>
      </c>
      <c r="E75">
        <v>0</v>
      </c>
      <c r="F75" t="s">
        <v>3372</v>
      </c>
      <c r="G75" t="s">
        <v>118</v>
      </c>
      <c r="H75" t="s">
        <v>117</v>
      </c>
      <c r="I75">
        <v>0.81881667583329398</v>
      </c>
      <c r="K75">
        <v>5</v>
      </c>
      <c r="M75">
        <v>500</v>
      </c>
      <c r="N75" t="s">
        <v>1078</v>
      </c>
      <c r="O75" t="s">
        <v>3366</v>
      </c>
      <c r="P75">
        <v>3493</v>
      </c>
      <c r="Q75">
        <v>2118</v>
      </c>
      <c r="R75" t="s">
        <v>3371</v>
      </c>
      <c r="S75" t="s">
        <v>3370</v>
      </c>
    </row>
    <row r="76" spans="1:19" x14ac:dyDescent="0.2">
      <c r="A76" t="s">
        <v>3369</v>
      </c>
      <c r="B76" t="s">
        <v>3368</v>
      </c>
      <c r="C76">
        <v>14</v>
      </c>
      <c r="D76" t="s">
        <v>120</v>
      </c>
      <c r="E76">
        <v>0</v>
      </c>
      <c r="F76" t="s">
        <v>3367</v>
      </c>
      <c r="G76" t="s">
        <v>118</v>
      </c>
      <c r="H76" t="s">
        <v>117</v>
      </c>
      <c r="I76">
        <v>0.86749851441100101</v>
      </c>
      <c r="K76">
        <v>3</v>
      </c>
      <c r="M76">
        <v>500</v>
      </c>
      <c r="N76" t="s">
        <v>1078</v>
      </c>
      <c r="O76" t="s">
        <v>3366</v>
      </c>
      <c r="P76">
        <v>3494</v>
      </c>
      <c r="Q76">
        <v>2119</v>
      </c>
      <c r="R76" t="s">
        <v>3365</v>
      </c>
      <c r="S76" t="s">
        <v>3364</v>
      </c>
    </row>
    <row r="77" spans="1:19" x14ac:dyDescent="0.2">
      <c r="A77" t="s">
        <v>3352</v>
      </c>
      <c r="B77" t="s">
        <v>3351</v>
      </c>
      <c r="C77">
        <v>16</v>
      </c>
      <c r="D77" t="s">
        <v>388</v>
      </c>
      <c r="E77">
        <v>0</v>
      </c>
      <c r="F77" t="s">
        <v>3350</v>
      </c>
      <c r="G77" t="s">
        <v>229</v>
      </c>
      <c r="H77" t="s">
        <v>228</v>
      </c>
      <c r="M77">
        <v>141</v>
      </c>
      <c r="N77" t="s">
        <v>137</v>
      </c>
      <c r="O77" t="s">
        <v>3349</v>
      </c>
      <c r="P77">
        <v>3498</v>
      </c>
      <c r="Q77">
        <v>2122</v>
      </c>
      <c r="R77" t="s">
        <v>3348</v>
      </c>
      <c r="S77" t="s">
        <v>3347</v>
      </c>
    </row>
    <row r="78" spans="1:19" x14ac:dyDescent="0.2">
      <c r="A78" t="s">
        <v>3346</v>
      </c>
      <c r="B78" t="s">
        <v>3345</v>
      </c>
      <c r="C78">
        <v>10</v>
      </c>
      <c r="D78" t="s">
        <v>388</v>
      </c>
      <c r="E78">
        <v>0</v>
      </c>
      <c r="F78" t="s">
        <v>3344</v>
      </c>
      <c r="G78" t="s">
        <v>118</v>
      </c>
      <c r="H78" t="s">
        <v>117</v>
      </c>
      <c r="I78">
        <v>0.75336018959265305</v>
      </c>
      <c r="J78">
        <v>0.88674821775930202</v>
      </c>
      <c r="K78">
        <v>2</v>
      </c>
      <c r="L78">
        <v>4</v>
      </c>
      <c r="M78">
        <v>498</v>
      </c>
      <c r="N78" t="s">
        <v>1078</v>
      </c>
      <c r="O78" t="s">
        <v>3145</v>
      </c>
      <c r="P78">
        <v>18562</v>
      </c>
      <c r="Q78">
        <v>54738</v>
      </c>
      <c r="R78" t="s">
        <v>3343</v>
      </c>
      <c r="S78" t="s">
        <v>3342</v>
      </c>
    </row>
    <row r="79" spans="1:19" x14ac:dyDescent="0.2">
      <c r="A79" t="s">
        <v>3341</v>
      </c>
      <c r="B79" t="s">
        <v>3340</v>
      </c>
      <c r="C79">
        <v>12</v>
      </c>
      <c r="D79" t="s">
        <v>120</v>
      </c>
      <c r="E79">
        <v>0</v>
      </c>
      <c r="F79" t="s">
        <v>3339</v>
      </c>
      <c r="G79" t="s">
        <v>118</v>
      </c>
      <c r="H79" t="s">
        <v>117</v>
      </c>
      <c r="I79">
        <v>0.80080720189794896</v>
      </c>
      <c r="K79">
        <v>3</v>
      </c>
      <c r="M79">
        <v>500</v>
      </c>
      <c r="N79" t="s">
        <v>107</v>
      </c>
      <c r="O79" t="s">
        <v>3338</v>
      </c>
      <c r="P79">
        <v>22788</v>
      </c>
      <c r="Q79">
        <v>389549</v>
      </c>
      <c r="R79" t="s">
        <v>3337</v>
      </c>
      <c r="S79" t="s">
        <v>3336</v>
      </c>
    </row>
    <row r="80" spans="1:19" x14ac:dyDescent="0.2">
      <c r="A80" t="s">
        <v>3330</v>
      </c>
      <c r="B80" t="s">
        <v>3327</v>
      </c>
      <c r="C80">
        <v>18</v>
      </c>
      <c r="D80" t="s">
        <v>363</v>
      </c>
      <c r="E80">
        <v>0</v>
      </c>
      <c r="F80" t="s">
        <v>3329</v>
      </c>
      <c r="G80" t="s">
        <v>118</v>
      </c>
      <c r="H80" t="s">
        <v>117</v>
      </c>
      <c r="I80">
        <v>0.98743797510285303</v>
      </c>
      <c r="J80">
        <v>0.89185431672959903</v>
      </c>
      <c r="K80">
        <v>50</v>
      </c>
      <c r="L80">
        <v>32</v>
      </c>
      <c r="M80">
        <v>529</v>
      </c>
      <c r="N80" t="s">
        <v>1078</v>
      </c>
      <c r="O80" t="s">
        <v>3145</v>
      </c>
      <c r="P80">
        <v>3749</v>
      </c>
      <c r="Q80">
        <v>2313</v>
      </c>
      <c r="R80" t="s">
        <v>3325</v>
      </c>
      <c r="S80" t="s">
        <v>3324</v>
      </c>
    </row>
    <row r="81" spans="1:19" x14ac:dyDescent="0.2">
      <c r="A81" t="s">
        <v>3323</v>
      </c>
      <c r="B81" t="s">
        <v>3322</v>
      </c>
      <c r="C81">
        <v>9</v>
      </c>
      <c r="D81" t="s">
        <v>363</v>
      </c>
      <c r="E81">
        <v>0</v>
      </c>
      <c r="F81" t="s">
        <v>3307</v>
      </c>
      <c r="G81" t="s">
        <v>118</v>
      </c>
      <c r="H81" t="s">
        <v>117</v>
      </c>
      <c r="I81">
        <v>0.97426618116138997</v>
      </c>
      <c r="J81">
        <v>0.91692505427766402</v>
      </c>
      <c r="K81">
        <v>2</v>
      </c>
      <c r="L81">
        <v>27</v>
      </c>
      <c r="M81">
        <v>500</v>
      </c>
      <c r="N81" t="s">
        <v>2532</v>
      </c>
      <c r="O81" t="s">
        <v>3306</v>
      </c>
      <c r="P81">
        <v>3797</v>
      </c>
      <c r="Q81">
        <v>2354</v>
      </c>
      <c r="R81" t="s">
        <v>3321</v>
      </c>
      <c r="S81" t="s">
        <v>3320</v>
      </c>
    </row>
    <row r="82" spans="1:19" x14ac:dyDescent="0.2">
      <c r="A82" t="s">
        <v>3319</v>
      </c>
      <c r="B82" t="s">
        <v>3318</v>
      </c>
      <c r="C82">
        <v>12</v>
      </c>
      <c r="D82" t="s">
        <v>363</v>
      </c>
      <c r="E82">
        <v>0</v>
      </c>
      <c r="F82" t="s">
        <v>3317</v>
      </c>
      <c r="G82" t="s">
        <v>118</v>
      </c>
      <c r="H82" t="s">
        <v>117</v>
      </c>
      <c r="I82">
        <v>0.98755591492572004</v>
      </c>
      <c r="J82">
        <v>0.95192434759234901</v>
      </c>
      <c r="K82">
        <v>21</v>
      </c>
      <c r="L82">
        <v>2</v>
      </c>
      <c r="M82">
        <v>500</v>
      </c>
      <c r="N82" t="s">
        <v>2532</v>
      </c>
      <c r="O82" t="s">
        <v>3306</v>
      </c>
      <c r="P82">
        <v>13718</v>
      </c>
      <c r="Q82">
        <v>8061</v>
      </c>
      <c r="R82" t="s">
        <v>3316</v>
      </c>
      <c r="S82" t="s">
        <v>3315</v>
      </c>
    </row>
    <row r="83" spans="1:19" x14ac:dyDescent="0.2">
      <c r="A83" t="s">
        <v>3314</v>
      </c>
      <c r="B83" t="s">
        <v>3313</v>
      </c>
      <c r="C83">
        <v>12</v>
      </c>
      <c r="D83" t="s">
        <v>363</v>
      </c>
      <c r="E83">
        <v>0</v>
      </c>
      <c r="F83" t="s">
        <v>3312</v>
      </c>
      <c r="G83" t="s">
        <v>118</v>
      </c>
      <c r="H83" t="s">
        <v>117</v>
      </c>
      <c r="I83">
        <v>0.99657988700688305</v>
      </c>
      <c r="J83">
        <v>0.97572084638656897</v>
      </c>
      <c r="K83">
        <v>27</v>
      </c>
      <c r="L83">
        <v>5</v>
      </c>
      <c r="M83">
        <v>500</v>
      </c>
      <c r="N83" t="s">
        <v>2532</v>
      </c>
      <c r="O83" t="s">
        <v>3306</v>
      </c>
      <c r="P83">
        <v>3798</v>
      </c>
      <c r="Q83">
        <v>2355</v>
      </c>
      <c r="R83" t="s">
        <v>3311</v>
      </c>
      <c r="S83" t="s">
        <v>3310</v>
      </c>
    </row>
    <row r="84" spans="1:19" x14ac:dyDescent="0.2">
      <c r="A84" t="s">
        <v>3309</v>
      </c>
      <c r="B84" t="s">
        <v>3308</v>
      </c>
      <c r="C84">
        <v>9</v>
      </c>
      <c r="D84" t="s">
        <v>363</v>
      </c>
      <c r="E84">
        <v>0</v>
      </c>
      <c r="F84" t="s">
        <v>3307</v>
      </c>
      <c r="G84" t="s">
        <v>118</v>
      </c>
      <c r="H84" t="s">
        <v>117</v>
      </c>
      <c r="I84">
        <v>0.99310803192928798</v>
      </c>
      <c r="J84">
        <v>0.92935979086547205</v>
      </c>
      <c r="K84">
        <v>38</v>
      </c>
      <c r="L84">
        <v>50</v>
      </c>
      <c r="M84">
        <v>500</v>
      </c>
      <c r="N84" t="s">
        <v>2532</v>
      </c>
      <c r="O84" t="s">
        <v>3306</v>
      </c>
      <c r="P84">
        <v>3796</v>
      </c>
      <c r="Q84">
        <v>2353</v>
      </c>
      <c r="R84" t="s">
        <v>3305</v>
      </c>
      <c r="S84" t="s">
        <v>3304</v>
      </c>
    </row>
    <row r="85" spans="1:19" x14ac:dyDescent="0.2">
      <c r="A85" t="s">
        <v>3303</v>
      </c>
      <c r="B85" t="s">
        <v>3302</v>
      </c>
      <c r="C85">
        <v>12</v>
      </c>
      <c r="D85" t="s">
        <v>363</v>
      </c>
      <c r="E85">
        <v>0</v>
      </c>
      <c r="F85" t="s">
        <v>3301</v>
      </c>
      <c r="G85" t="s">
        <v>118</v>
      </c>
      <c r="H85" t="s">
        <v>117</v>
      </c>
      <c r="I85">
        <v>0.98816289405839297</v>
      </c>
      <c r="J85">
        <v>0.97439913797779898</v>
      </c>
      <c r="K85">
        <v>199</v>
      </c>
      <c r="L85">
        <v>28</v>
      </c>
      <c r="M85">
        <v>500</v>
      </c>
      <c r="N85" t="s">
        <v>3157</v>
      </c>
      <c r="O85" t="s">
        <v>3290</v>
      </c>
      <c r="P85">
        <v>5021</v>
      </c>
      <c r="Q85">
        <v>3169</v>
      </c>
      <c r="R85" t="s">
        <v>3300</v>
      </c>
      <c r="S85" t="s">
        <v>3299</v>
      </c>
    </row>
    <row r="86" spans="1:19" x14ac:dyDescent="0.2">
      <c r="A86" t="s">
        <v>3298</v>
      </c>
      <c r="B86" t="s">
        <v>3297</v>
      </c>
      <c r="C86">
        <v>12</v>
      </c>
      <c r="D86" t="s">
        <v>363</v>
      </c>
      <c r="E86">
        <v>0</v>
      </c>
      <c r="F86" t="s">
        <v>3296</v>
      </c>
      <c r="G86" t="s">
        <v>118</v>
      </c>
      <c r="H86" t="s">
        <v>117</v>
      </c>
      <c r="I86">
        <v>0.98194813965372596</v>
      </c>
      <c r="J86">
        <v>0.98818695373749699</v>
      </c>
      <c r="K86">
        <v>22</v>
      </c>
      <c r="L86">
        <v>34</v>
      </c>
      <c r="M86">
        <v>500</v>
      </c>
      <c r="N86" t="s">
        <v>3157</v>
      </c>
      <c r="O86" t="s">
        <v>3290</v>
      </c>
      <c r="P86">
        <v>5022</v>
      </c>
      <c r="Q86">
        <v>3170</v>
      </c>
      <c r="R86" t="s">
        <v>3295</v>
      </c>
      <c r="S86" t="s">
        <v>3294</v>
      </c>
    </row>
    <row r="87" spans="1:19" x14ac:dyDescent="0.2">
      <c r="A87" t="s">
        <v>3293</v>
      </c>
      <c r="B87" t="s">
        <v>3292</v>
      </c>
      <c r="C87">
        <v>13</v>
      </c>
      <c r="D87" t="s">
        <v>388</v>
      </c>
      <c r="E87">
        <v>0</v>
      </c>
      <c r="F87" t="s">
        <v>3291</v>
      </c>
      <c r="G87" t="s">
        <v>118</v>
      </c>
      <c r="H87" t="s">
        <v>117</v>
      </c>
      <c r="J87">
        <v>0.98767731595012898</v>
      </c>
      <c r="L87">
        <v>6</v>
      </c>
      <c r="M87">
        <v>500</v>
      </c>
      <c r="N87" t="s">
        <v>3157</v>
      </c>
      <c r="O87" t="s">
        <v>3290</v>
      </c>
      <c r="P87">
        <v>5023</v>
      </c>
      <c r="Q87">
        <v>3171</v>
      </c>
      <c r="R87" t="s">
        <v>3289</v>
      </c>
      <c r="S87" t="s">
        <v>3288</v>
      </c>
    </row>
    <row r="88" spans="1:19" x14ac:dyDescent="0.2">
      <c r="A88" t="s">
        <v>3281</v>
      </c>
      <c r="B88" t="s">
        <v>39</v>
      </c>
      <c r="C88">
        <v>15</v>
      </c>
      <c r="D88" t="s">
        <v>120</v>
      </c>
      <c r="E88">
        <v>0</v>
      </c>
      <c r="F88" t="s">
        <v>3280</v>
      </c>
      <c r="G88" t="s">
        <v>229</v>
      </c>
      <c r="H88" t="s">
        <v>228</v>
      </c>
      <c r="M88">
        <v>26</v>
      </c>
      <c r="N88" t="s">
        <v>3157</v>
      </c>
      <c r="O88" t="s">
        <v>3274</v>
      </c>
      <c r="P88">
        <v>3800</v>
      </c>
      <c r="Q88">
        <v>2296</v>
      </c>
      <c r="R88" t="s">
        <v>3279</v>
      </c>
      <c r="S88" t="s">
        <v>3278</v>
      </c>
    </row>
    <row r="89" spans="1:19" x14ac:dyDescent="0.2">
      <c r="A89" t="s">
        <v>3238</v>
      </c>
      <c r="B89" t="s">
        <v>3237</v>
      </c>
      <c r="C89">
        <v>9</v>
      </c>
      <c r="D89" t="s">
        <v>363</v>
      </c>
      <c r="E89">
        <v>0</v>
      </c>
      <c r="F89" t="s">
        <v>3236</v>
      </c>
      <c r="G89" t="s">
        <v>118</v>
      </c>
      <c r="H89" t="s">
        <v>117</v>
      </c>
      <c r="I89">
        <v>0.97342800159087295</v>
      </c>
      <c r="K89">
        <v>7</v>
      </c>
      <c r="M89">
        <v>487</v>
      </c>
      <c r="N89" t="s">
        <v>3157</v>
      </c>
      <c r="O89" t="s">
        <v>3235</v>
      </c>
      <c r="P89">
        <v>3814</v>
      </c>
      <c r="Q89">
        <v>8928</v>
      </c>
      <c r="R89" t="s">
        <v>3234</v>
      </c>
      <c r="S89" t="s">
        <v>3233</v>
      </c>
    </row>
    <row r="90" spans="1:19" x14ac:dyDescent="0.2">
      <c r="A90" t="s">
        <v>3232</v>
      </c>
      <c r="B90" t="s">
        <v>3231</v>
      </c>
      <c r="C90">
        <v>12</v>
      </c>
      <c r="D90" t="s">
        <v>388</v>
      </c>
      <c r="E90">
        <v>0</v>
      </c>
      <c r="F90" t="s">
        <v>3230</v>
      </c>
      <c r="G90" t="s">
        <v>229</v>
      </c>
      <c r="H90" t="s">
        <v>228</v>
      </c>
      <c r="M90">
        <v>210</v>
      </c>
      <c r="N90" t="s">
        <v>3157</v>
      </c>
      <c r="O90" t="s">
        <v>3229</v>
      </c>
      <c r="P90">
        <v>3815</v>
      </c>
      <c r="Q90">
        <v>2299</v>
      </c>
      <c r="R90" t="s">
        <v>3228</v>
      </c>
      <c r="S90" t="s">
        <v>3227</v>
      </c>
    </row>
    <row r="91" spans="1:19" x14ac:dyDescent="0.2">
      <c r="A91" t="s">
        <v>3226</v>
      </c>
      <c r="B91" t="s">
        <v>3225</v>
      </c>
      <c r="C91">
        <v>10</v>
      </c>
      <c r="D91" t="s">
        <v>120</v>
      </c>
      <c r="E91">
        <v>0</v>
      </c>
      <c r="F91" t="s">
        <v>3224</v>
      </c>
      <c r="G91" t="s">
        <v>229</v>
      </c>
      <c r="H91" t="s">
        <v>228</v>
      </c>
      <c r="M91">
        <v>41</v>
      </c>
      <c r="N91" t="s">
        <v>3157</v>
      </c>
      <c r="O91" t="s">
        <v>3217</v>
      </c>
      <c r="P91">
        <v>24818</v>
      </c>
      <c r="Q91">
        <v>55810</v>
      </c>
      <c r="R91" t="s">
        <v>3223</v>
      </c>
      <c r="S91" t="s">
        <v>3222</v>
      </c>
    </row>
    <row r="92" spans="1:19" x14ac:dyDescent="0.2">
      <c r="A92" t="s">
        <v>3221</v>
      </c>
      <c r="B92" t="s">
        <v>61</v>
      </c>
      <c r="C92">
        <v>13</v>
      </c>
      <c r="D92" t="s">
        <v>363</v>
      </c>
      <c r="E92">
        <v>0</v>
      </c>
      <c r="F92" t="s">
        <v>3220</v>
      </c>
      <c r="G92" t="s">
        <v>229</v>
      </c>
      <c r="H92" t="s">
        <v>228</v>
      </c>
      <c r="M92">
        <v>550</v>
      </c>
      <c r="N92" t="s">
        <v>3157</v>
      </c>
      <c r="O92" t="s">
        <v>3217</v>
      </c>
      <c r="P92">
        <v>29178</v>
      </c>
      <c r="Q92">
        <v>22887</v>
      </c>
      <c r="R92" t="s">
        <v>3216</v>
      </c>
      <c r="S92" t="s">
        <v>3215</v>
      </c>
    </row>
    <row r="93" spans="1:19" x14ac:dyDescent="0.2">
      <c r="A93" t="s">
        <v>3214</v>
      </c>
      <c r="B93" t="s">
        <v>86</v>
      </c>
      <c r="C93">
        <v>10</v>
      </c>
      <c r="D93" t="s">
        <v>363</v>
      </c>
      <c r="E93">
        <v>0</v>
      </c>
      <c r="F93" t="s">
        <v>3213</v>
      </c>
      <c r="G93" t="s">
        <v>118</v>
      </c>
      <c r="H93" t="s">
        <v>117</v>
      </c>
      <c r="I93">
        <v>0.85696397942611002</v>
      </c>
      <c r="J93">
        <v>0.78108261784353405</v>
      </c>
      <c r="K93">
        <v>11</v>
      </c>
      <c r="L93">
        <v>4</v>
      </c>
      <c r="M93">
        <v>506</v>
      </c>
      <c r="N93" t="s">
        <v>3157</v>
      </c>
      <c r="O93" t="s">
        <v>3212</v>
      </c>
      <c r="P93">
        <v>23480</v>
      </c>
      <c r="Q93">
        <v>221937</v>
      </c>
      <c r="R93" t="s">
        <v>3211</v>
      </c>
      <c r="S93" t="s">
        <v>3210</v>
      </c>
    </row>
    <row r="94" spans="1:19" x14ac:dyDescent="0.2">
      <c r="A94" t="s">
        <v>3203</v>
      </c>
      <c r="B94" t="s">
        <v>3202</v>
      </c>
      <c r="C94">
        <v>12</v>
      </c>
      <c r="D94" t="s">
        <v>363</v>
      </c>
      <c r="E94">
        <v>0</v>
      </c>
      <c r="F94" t="s">
        <v>3201</v>
      </c>
      <c r="G94" t="s">
        <v>118</v>
      </c>
      <c r="H94" t="s">
        <v>117</v>
      </c>
      <c r="I94">
        <v>0.88180922658568095</v>
      </c>
      <c r="K94">
        <v>66</v>
      </c>
      <c r="M94">
        <v>500</v>
      </c>
      <c r="N94" t="s">
        <v>3157</v>
      </c>
      <c r="O94" t="s">
        <v>3200</v>
      </c>
      <c r="P94">
        <v>3818</v>
      </c>
      <c r="Q94">
        <v>2305</v>
      </c>
      <c r="R94" t="s">
        <v>3199</v>
      </c>
      <c r="S94" t="s">
        <v>3198</v>
      </c>
    </row>
    <row r="95" spans="1:19" x14ac:dyDescent="0.2">
      <c r="A95" t="s">
        <v>3197</v>
      </c>
      <c r="B95" t="s">
        <v>3196</v>
      </c>
      <c r="C95">
        <v>12</v>
      </c>
      <c r="D95" t="s">
        <v>363</v>
      </c>
      <c r="E95">
        <v>0</v>
      </c>
      <c r="F95" t="s">
        <v>3195</v>
      </c>
      <c r="G95" t="s">
        <v>118</v>
      </c>
      <c r="H95" t="s">
        <v>117</v>
      </c>
      <c r="I95">
        <v>0.882840393056602</v>
      </c>
      <c r="J95">
        <v>0.90120242486936497</v>
      </c>
      <c r="K95">
        <v>9</v>
      </c>
      <c r="L95">
        <v>21</v>
      </c>
      <c r="M95">
        <v>500</v>
      </c>
      <c r="N95" t="s">
        <v>3157</v>
      </c>
      <c r="O95" t="s">
        <v>3179</v>
      </c>
      <c r="P95">
        <v>3819</v>
      </c>
      <c r="Q95">
        <v>2308</v>
      </c>
      <c r="R95" t="s">
        <v>3194</v>
      </c>
      <c r="S95" t="s">
        <v>3193</v>
      </c>
    </row>
    <row r="96" spans="1:19" x14ac:dyDescent="0.2">
      <c r="A96" t="s">
        <v>3192</v>
      </c>
      <c r="B96" t="s">
        <v>3191</v>
      </c>
      <c r="C96">
        <v>10</v>
      </c>
      <c r="D96" t="s">
        <v>388</v>
      </c>
      <c r="E96">
        <v>0</v>
      </c>
      <c r="F96" t="s">
        <v>3190</v>
      </c>
      <c r="G96" t="s">
        <v>118</v>
      </c>
      <c r="H96" t="s">
        <v>117</v>
      </c>
      <c r="I96">
        <v>0.66828659474980501</v>
      </c>
      <c r="J96">
        <v>0.94672793343074002</v>
      </c>
      <c r="K96">
        <v>2</v>
      </c>
      <c r="L96">
        <v>7</v>
      </c>
      <c r="M96">
        <v>500</v>
      </c>
      <c r="N96" t="s">
        <v>3157</v>
      </c>
      <c r="O96" t="s">
        <v>3179</v>
      </c>
      <c r="P96">
        <v>3821</v>
      </c>
      <c r="Q96">
        <v>2309</v>
      </c>
      <c r="R96" t="s">
        <v>3189</v>
      </c>
      <c r="S96" t="s">
        <v>3188</v>
      </c>
    </row>
    <row r="97" spans="1:19" x14ac:dyDescent="0.2">
      <c r="A97" t="s">
        <v>3187</v>
      </c>
      <c r="B97" t="s">
        <v>3186</v>
      </c>
      <c r="C97">
        <v>9</v>
      </c>
      <c r="D97" t="s">
        <v>120</v>
      </c>
      <c r="E97">
        <v>0</v>
      </c>
      <c r="F97" t="s">
        <v>3185</v>
      </c>
      <c r="G97" t="s">
        <v>229</v>
      </c>
      <c r="H97" t="s">
        <v>228</v>
      </c>
      <c r="M97">
        <v>28</v>
      </c>
      <c r="N97" t="s">
        <v>3157</v>
      </c>
      <c r="O97" t="s">
        <v>3179</v>
      </c>
      <c r="P97">
        <v>7139</v>
      </c>
      <c r="Q97">
        <v>4303</v>
      </c>
      <c r="R97" t="s">
        <v>3184</v>
      </c>
      <c r="S97" t="s">
        <v>3183</v>
      </c>
    </row>
    <row r="98" spans="1:19" x14ac:dyDescent="0.2">
      <c r="A98" t="s">
        <v>3176</v>
      </c>
      <c r="B98" t="s">
        <v>3175</v>
      </c>
      <c r="C98">
        <v>9</v>
      </c>
      <c r="D98" t="s">
        <v>363</v>
      </c>
      <c r="E98">
        <v>0</v>
      </c>
      <c r="F98" t="s">
        <v>3174</v>
      </c>
      <c r="G98" t="s">
        <v>118</v>
      </c>
      <c r="H98" t="s">
        <v>117</v>
      </c>
      <c r="I98">
        <v>0.88656844387392297</v>
      </c>
      <c r="K98">
        <v>21</v>
      </c>
      <c r="M98">
        <v>296</v>
      </c>
      <c r="N98" t="s">
        <v>3157</v>
      </c>
      <c r="O98" t="s">
        <v>3163</v>
      </c>
      <c r="P98">
        <v>3823</v>
      </c>
      <c r="Q98">
        <v>27086</v>
      </c>
      <c r="R98" t="s">
        <v>3173</v>
      </c>
      <c r="S98" t="s">
        <v>3172</v>
      </c>
    </row>
    <row r="99" spans="1:19" x14ac:dyDescent="0.2">
      <c r="A99" t="s">
        <v>3171</v>
      </c>
      <c r="B99" t="s">
        <v>3170</v>
      </c>
      <c r="C99">
        <v>9</v>
      </c>
      <c r="D99" t="s">
        <v>120</v>
      </c>
      <c r="E99">
        <v>0</v>
      </c>
      <c r="F99" t="s">
        <v>3169</v>
      </c>
      <c r="G99" t="s">
        <v>118</v>
      </c>
      <c r="H99" t="s">
        <v>117</v>
      </c>
      <c r="I99">
        <v>0.96223106930813695</v>
      </c>
      <c r="K99">
        <v>2</v>
      </c>
      <c r="M99">
        <v>500</v>
      </c>
      <c r="N99" t="s">
        <v>3157</v>
      </c>
      <c r="O99" t="s">
        <v>3163</v>
      </c>
      <c r="P99">
        <v>13875</v>
      </c>
      <c r="Q99">
        <v>93986</v>
      </c>
      <c r="R99" t="s">
        <v>3168</v>
      </c>
      <c r="S99" t="s">
        <v>3167</v>
      </c>
    </row>
    <row r="100" spans="1:19" x14ac:dyDescent="0.2">
      <c r="A100" t="s">
        <v>3160</v>
      </c>
      <c r="B100" t="s">
        <v>3159</v>
      </c>
      <c r="C100">
        <v>12</v>
      </c>
      <c r="D100" t="s">
        <v>120</v>
      </c>
      <c r="E100">
        <v>0</v>
      </c>
      <c r="F100" t="s">
        <v>3158</v>
      </c>
      <c r="G100" t="s">
        <v>229</v>
      </c>
      <c r="H100" t="s">
        <v>228</v>
      </c>
      <c r="M100">
        <v>13</v>
      </c>
      <c r="N100" t="s">
        <v>3157</v>
      </c>
      <c r="O100" t="s">
        <v>3156</v>
      </c>
      <c r="P100">
        <v>20951</v>
      </c>
      <c r="Q100">
        <v>94234</v>
      </c>
      <c r="R100" t="s">
        <v>3155</v>
      </c>
      <c r="S100" t="s">
        <v>3154</v>
      </c>
    </row>
    <row r="101" spans="1:19" x14ac:dyDescent="0.2">
      <c r="A101" t="s">
        <v>3148</v>
      </c>
      <c r="B101" t="s">
        <v>3147</v>
      </c>
      <c r="C101">
        <v>14</v>
      </c>
      <c r="D101" t="s">
        <v>363</v>
      </c>
      <c r="E101">
        <v>0</v>
      </c>
      <c r="F101" t="s">
        <v>3146</v>
      </c>
      <c r="G101" t="s">
        <v>118</v>
      </c>
      <c r="H101" t="s">
        <v>117</v>
      </c>
      <c r="I101">
        <v>0.98770882251704595</v>
      </c>
      <c r="J101">
        <v>0.94853521960633802</v>
      </c>
      <c r="K101">
        <v>92</v>
      </c>
      <c r="L101">
        <v>8</v>
      </c>
      <c r="M101">
        <v>500</v>
      </c>
      <c r="N101" t="s">
        <v>1078</v>
      </c>
      <c r="O101" t="s">
        <v>3145</v>
      </c>
      <c r="P101">
        <v>4071</v>
      </c>
      <c r="Q101">
        <v>2551</v>
      </c>
      <c r="R101" t="s">
        <v>3144</v>
      </c>
      <c r="S101" t="s">
        <v>3143</v>
      </c>
    </row>
    <row r="102" spans="1:19" x14ac:dyDescent="0.2">
      <c r="A102" t="s">
        <v>3142</v>
      </c>
      <c r="B102" t="s">
        <v>3139</v>
      </c>
      <c r="C102">
        <v>19</v>
      </c>
      <c r="D102" t="s">
        <v>363</v>
      </c>
      <c r="E102">
        <v>0</v>
      </c>
      <c r="F102" t="s">
        <v>3141</v>
      </c>
      <c r="G102" t="s">
        <v>118</v>
      </c>
      <c r="H102" t="s">
        <v>117</v>
      </c>
      <c r="I102">
        <v>0.98076759614391495</v>
      </c>
      <c r="J102">
        <v>0.94266291744491204</v>
      </c>
      <c r="K102">
        <v>48</v>
      </c>
      <c r="L102">
        <v>122</v>
      </c>
      <c r="M102">
        <v>500</v>
      </c>
      <c r="N102" t="s">
        <v>3110</v>
      </c>
      <c r="O102" t="s">
        <v>3109</v>
      </c>
      <c r="P102">
        <v>4170</v>
      </c>
      <c r="Q102">
        <v>2623</v>
      </c>
      <c r="R102" t="s">
        <v>3137</v>
      </c>
      <c r="S102" t="s">
        <v>3136</v>
      </c>
    </row>
    <row r="103" spans="1:19" x14ac:dyDescent="0.2">
      <c r="A103" t="s">
        <v>3135</v>
      </c>
      <c r="B103" t="s">
        <v>3132</v>
      </c>
      <c r="C103">
        <v>19</v>
      </c>
      <c r="D103" t="s">
        <v>363</v>
      </c>
      <c r="E103">
        <v>0</v>
      </c>
      <c r="F103" t="s">
        <v>3134</v>
      </c>
      <c r="G103" t="s">
        <v>118</v>
      </c>
      <c r="H103" t="s">
        <v>117</v>
      </c>
      <c r="I103">
        <v>0.95824614127895102</v>
      </c>
      <c r="J103">
        <v>0.97062059442474902</v>
      </c>
      <c r="K103">
        <v>84</v>
      </c>
      <c r="L103">
        <v>54</v>
      </c>
      <c r="M103">
        <v>500</v>
      </c>
      <c r="N103" t="s">
        <v>3110</v>
      </c>
      <c r="O103" t="s">
        <v>3109</v>
      </c>
      <c r="P103">
        <v>4171</v>
      </c>
      <c r="Q103">
        <v>2624</v>
      </c>
      <c r="R103" t="s">
        <v>3130</v>
      </c>
      <c r="S103" t="s">
        <v>3129</v>
      </c>
    </row>
    <row r="104" spans="1:19" x14ac:dyDescent="0.2">
      <c r="A104" t="s">
        <v>3128</v>
      </c>
      <c r="B104" t="s">
        <v>3127</v>
      </c>
      <c r="C104">
        <v>11</v>
      </c>
      <c r="D104" t="s">
        <v>363</v>
      </c>
      <c r="E104">
        <v>0</v>
      </c>
      <c r="F104" t="s">
        <v>3126</v>
      </c>
      <c r="G104" t="s">
        <v>118</v>
      </c>
      <c r="H104" t="s">
        <v>117</v>
      </c>
      <c r="I104">
        <v>0.90118143707368803</v>
      </c>
      <c r="J104">
        <v>0.89320207564015297</v>
      </c>
      <c r="K104">
        <v>98</v>
      </c>
      <c r="L104">
        <v>60</v>
      </c>
      <c r="M104">
        <v>500</v>
      </c>
      <c r="N104" t="s">
        <v>3110</v>
      </c>
      <c r="O104" t="s">
        <v>3109</v>
      </c>
      <c r="P104">
        <v>4172</v>
      </c>
      <c r="Q104">
        <v>2625</v>
      </c>
      <c r="R104" t="s">
        <v>3125</v>
      </c>
      <c r="S104" t="s">
        <v>3124</v>
      </c>
    </row>
    <row r="105" spans="1:19" x14ac:dyDescent="0.2">
      <c r="A105" t="s">
        <v>3123</v>
      </c>
      <c r="B105" t="s">
        <v>3122</v>
      </c>
      <c r="C105">
        <v>10</v>
      </c>
      <c r="D105" t="s">
        <v>363</v>
      </c>
      <c r="E105">
        <v>0</v>
      </c>
      <c r="F105" t="s">
        <v>3121</v>
      </c>
      <c r="G105" t="s">
        <v>118</v>
      </c>
      <c r="H105" t="s">
        <v>117</v>
      </c>
      <c r="I105">
        <v>0.95466211845555404</v>
      </c>
      <c r="J105">
        <v>0.93958533537021205</v>
      </c>
      <c r="K105">
        <v>15</v>
      </c>
      <c r="L105">
        <v>17</v>
      </c>
      <c r="M105">
        <v>500</v>
      </c>
      <c r="N105" t="s">
        <v>3110</v>
      </c>
      <c r="O105" t="s">
        <v>3109</v>
      </c>
      <c r="P105">
        <v>4173</v>
      </c>
      <c r="Q105">
        <v>2626</v>
      </c>
      <c r="R105" t="s">
        <v>3120</v>
      </c>
      <c r="S105" t="s">
        <v>3119</v>
      </c>
    </row>
    <row r="106" spans="1:19" x14ac:dyDescent="0.2">
      <c r="A106" t="s">
        <v>3113</v>
      </c>
      <c r="B106" t="s">
        <v>3112</v>
      </c>
      <c r="C106">
        <v>13</v>
      </c>
      <c r="D106" t="s">
        <v>363</v>
      </c>
      <c r="E106">
        <v>0</v>
      </c>
      <c r="F106" t="s">
        <v>3111</v>
      </c>
      <c r="G106" t="s">
        <v>118</v>
      </c>
      <c r="H106" t="s">
        <v>117</v>
      </c>
      <c r="I106">
        <v>0.96978748343658805</v>
      </c>
      <c r="J106">
        <v>0.93189310398494796</v>
      </c>
      <c r="K106">
        <v>29</v>
      </c>
      <c r="L106">
        <v>7</v>
      </c>
      <c r="M106">
        <v>500</v>
      </c>
      <c r="N106" t="s">
        <v>3110</v>
      </c>
      <c r="O106" t="s">
        <v>3109</v>
      </c>
      <c r="P106">
        <v>4174</v>
      </c>
      <c r="Q106">
        <v>2627</v>
      </c>
      <c r="R106" t="s">
        <v>3108</v>
      </c>
      <c r="S106" t="s">
        <v>3107</v>
      </c>
    </row>
    <row r="107" spans="1:19" x14ac:dyDescent="0.2">
      <c r="A107" t="s">
        <v>3082</v>
      </c>
      <c r="B107" t="s">
        <v>3079</v>
      </c>
      <c r="C107">
        <v>15</v>
      </c>
      <c r="D107" t="s">
        <v>363</v>
      </c>
      <c r="E107">
        <v>0</v>
      </c>
      <c r="F107" t="s">
        <v>3081</v>
      </c>
      <c r="G107" t="s">
        <v>118</v>
      </c>
      <c r="H107" t="s">
        <v>117</v>
      </c>
      <c r="I107">
        <v>0.977919964227706</v>
      </c>
      <c r="J107">
        <v>0.98903612414325603</v>
      </c>
      <c r="K107">
        <v>143</v>
      </c>
      <c r="L107">
        <v>119</v>
      </c>
      <c r="M107">
        <v>500</v>
      </c>
      <c r="N107" t="s">
        <v>1483</v>
      </c>
      <c r="O107" t="s">
        <v>1482</v>
      </c>
      <c r="P107">
        <v>7978</v>
      </c>
      <c r="Q107">
        <v>2908</v>
      </c>
      <c r="R107" t="s">
        <v>3077</v>
      </c>
      <c r="S107" t="s">
        <v>3076</v>
      </c>
    </row>
    <row r="108" spans="1:19" x14ac:dyDescent="0.2">
      <c r="A108" t="s">
        <v>3075</v>
      </c>
      <c r="B108" t="s">
        <v>3074</v>
      </c>
      <c r="C108">
        <v>10</v>
      </c>
      <c r="D108" t="s">
        <v>363</v>
      </c>
      <c r="E108">
        <v>0</v>
      </c>
      <c r="F108" t="s">
        <v>3073</v>
      </c>
      <c r="G108" t="s">
        <v>118</v>
      </c>
      <c r="H108" t="s">
        <v>117</v>
      </c>
      <c r="I108">
        <v>0.89100254808535695</v>
      </c>
      <c r="J108">
        <v>0.88658592166499695</v>
      </c>
      <c r="K108">
        <v>3</v>
      </c>
      <c r="L108">
        <v>24</v>
      </c>
      <c r="M108">
        <v>503</v>
      </c>
      <c r="N108" t="s">
        <v>107</v>
      </c>
      <c r="O108" t="s">
        <v>3067</v>
      </c>
      <c r="P108">
        <v>4238</v>
      </c>
      <c r="Q108">
        <v>8328</v>
      </c>
      <c r="R108" t="s">
        <v>3072</v>
      </c>
      <c r="S108" t="s">
        <v>3071</v>
      </c>
    </row>
    <row r="109" spans="1:19" x14ac:dyDescent="0.2">
      <c r="A109" t="s">
        <v>3070</v>
      </c>
      <c r="B109" t="s">
        <v>3069</v>
      </c>
      <c r="C109">
        <v>10</v>
      </c>
      <c r="D109" t="s">
        <v>120</v>
      </c>
      <c r="E109">
        <v>0</v>
      </c>
      <c r="F109" t="s">
        <v>3068</v>
      </c>
      <c r="G109" t="s">
        <v>229</v>
      </c>
      <c r="H109" t="s">
        <v>228</v>
      </c>
      <c r="M109">
        <v>152</v>
      </c>
      <c r="N109" t="s">
        <v>107</v>
      </c>
      <c r="O109" t="s">
        <v>3067</v>
      </c>
      <c r="P109">
        <v>4237</v>
      </c>
      <c r="Q109">
        <v>2672</v>
      </c>
      <c r="R109" t="s">
        <v>3066</v>
      </c>
      <c r="S109" t="s">
        <v>3065</v>
      </c>
    </row>
    <row r="110" spans="1:19" x14ac:dyDescent="0.2">
      <c r="A110" t="s">
        <v>3054</v>
      </c>
      <c r="B110" t="s">
        <v>3053</v>
      </c>
      <c r="C110">
        <v>11</v>
      </c>
      <c r="D110" t="s">
        <v>388</v>
      </c>
      <c r="E110">
        <v>0</v>
      </c>
      <c r="F110" t="s">
        <v>3052</v>
      </c>
      <c r="G110" t="s">
        <v>229</v>
      </c>
      <c r="H110" t="s">
        <v>228</v>
      </c>
      <c r="M110">
        <v>15</v>
      </c>
      <c r="N110" t="s">
        <v>107</v>
      </c>
      <c r="O110" t="s">
        <v>514</v>
      </c>
      <c r="P110">
        <v>4319</v>
      </c>
      <c r="Q110">
        <v>2737</v>
      </c>
      <c r="R110" t="s">
        <v>3051</v>
      </c>
      <c r="S110" t="s">
        <v>3050</v>
      </c>
    </row>
    <row r="111" spans="1:19" x14ac:dyDescent="0.2">
      <c r="A111" t="s">
        <v>3022</v>
      </c>
      <c r="B111" t="s">
        <v>3021</v>
      </c>
      <c r="C111">
        <v>12</v>
      </c>
      <c r="D111" t="s">
        <v>363</v>
      </c>
      <c r="E111">
        <v>0</v>
      </c>
      <c r="F111" t="s">
        <v>3020</v>
      </c>
      <c r="G111" t="s">
        <v>118</v>
      </c>
      <c r="H111" t="s">
        <v>117</v>
      </c>
      <c r="I111">
        <v>0.95978286030984805</v>
      </c>
      <c r="J111">
        <v>0.920790488398611</v>
      </c>
      <c r="K111">
        <v>22</v>
      </c>
      <c r="L111">
        <v>4</v>
      </c>
      <c r="M111">
        <v>497</v>
      </c>
      <c r="N111" t="s">
        <v>3019</v>
      </c>
      <c r="O111" t="s">
        <v>3018</v>
      </c>
      <c r="P111">
        <v>2799</v>
      </c>
      <c r="Q111">
        <v>79977</v>
      </c>
      <c r="R111" t="s">
        <v>3017</v>
      </c>
      <c r="S111" t="s">
        <v>3016</v>
      </c>
    </row>
    <row r="112" spans="1:19" x14ac:dyDescent="0.2">
      <c r="A112" t="s">
        <v>2980</v>
      </c>
      <c r="B112" t="s">
        <v>2979</v>
      </c>
      <c r="C112">
        <v>20</v>
      </c>
      <c r="D112" t="s">
        <v>120</v>
      </c>
      <c r="E112">
        <v>0</v>
      </c>
      <c r="F112" t="s">
        <v>2978</v>
      </c>
      <c r="G112" t="s">
        <v>229</v>
      </c>
      <c r="H112" t="s">
        <v>228</v>
      </c>
      <c r="M112">
        <v>55</v>
      </c>
      <c r="N112" t="s">
        <v>753</v>
      </c>
      <c r="O112" t="s">
        <v>976</v>
      </c>
      <c r="P112">
        <v>7817</v>
      </c>
      <c r="Q112">
        <v>4807</v>
      </c>
      <c r="R112" t="s">
        <v>2977</v>
      </c>
      <c r="S112" t="s">
        <v>2976</v>
      </c>
    </row>
    <row r="113" spans="1:19" x14ac:dyDescent="0.2">
      <c r="A113" t="s">
        <v>2943</v>
      </c>
      <c r="B113" t="s">
        <v>2942</v>
      </c>
      <c r="C113">
        <v>9</v>
      </c>
      <c r="D113" t="s">
        <v>120</v>
      </c>
      <c r="E113">
        <v>0</v>
      </c>
      <c r="F113" t="s">
        <v>2941</v>
      </c>
      <c r="G113" t="s">
        <v>229</v>
      </c>
      <c r="H113" t="s">
        <v>228</v>
      </c>
      <c r="M113">
        <v>40</v>
      </c>
      <c r="N113" t="s">
        <v>137</v>
      </c>
      <c r="O113" t="s">
        <v>2935</v>
      </c>
      <c r="P113">
        <v>4909</v>
      </c>
      <c r="Q113">
        <v>3090</v>
      </c>
      <c r="R113" t="s">
        <v>2940</v>
      </c>
      <c r="S113" t="s">
        <v>2939</v>
      </c>
    </row>
    <row r="114" spans="1:19" x14ac:dyDescent="0.2">
      <c r="A114" t="s">
        <v>2932</v>
      </c>
      <c r="B114" t="s">
        <v>2931</v>
      </c>
      <c r="C114">
        <v>8</v>
      </c>
      <c r="D114" t="s">
        <v>120</v>
      </c>
      <c r="E114">
        <v>0</v>
      </c>
      <c r="F114" t="s">
        <v>2930</v>
      </c>
      <c r="G114" t="s">
        <v>118</v>
      </c>
      <c r="H114" t="s">
        <v>117</v>
      </c>
      <c r="I114">
        <v>0.76204144985037103</v>
      </c>
      <c r="J114">
        <v>0.73751600565067599</v>
      </c>
      <c r="K114">
        <v>39</v>
      </c>
      <c r="L114">
        <v>8</v>
      </c>
      <c r="M114">
        <v>501</v>
      </c>
      <c r="N114" t="s">
        <v>2929</v>
      </c>
      <c r="O114" t="s">
        <v>2928</v>
      </c>
      <c r="P114">
        <v>4910</v>
      </c>
      <c r="Q114">
        <v>3091</v>
      </c>
      <c r="R114" t="s">
        <v>2927</v>
      </c>
      <c r="S114" t="s">
        <v>2926</v>
      </c>
    </row>
    <row r="115" spans="1:19" x14ac:dyDescent="0.2">
      <c r="A115" t="s">
        <v>2925</v>
      </c>
      <c r="B115" t="s">
        <v>2924</v>
      </c>
      <c r="C115">
        <v>16</v>
      </c>
      <c r="D115" t="s">
        <v>120</v>
      </c>
      <c r="E115">
        <v>0</v>
      </c>
      <c r="F115" t="s">
        <v>2923</v>
      </c>
      <c r="G115" t="s">
        <v>229</v>
      </c>
      <c r="H115" t="s">
        <v>228</v>
      </c>
      <c r="M115">
        <v>42</v>
      </c>
      <c r="N115" t="s">
        <v>137</v>
      </c>
      <c r="O115" t="s">
        <v>2922</v>
      </c>
      <c r="P115">
        <v>17850</v>
      </c>
      <c r="Q115">
        <v>25988</v>
      </c>
      <c r="R115" t="s">
        <v>2921</v>
      </c>
      <c r="S115" t="s">
        <v>2920</v>
      </c>
    </row>
    <row r="116" spans="1:19" x14ac:dyDescent="0.2">
      <c r="A116" t="s">
        <v>2919</v>
      </c>
      <c r="B116" t="s">
        <v>2918</v>
      </c>
      <c r="C116">
        <v>13</v>
      </c>
      <c r="D116" t="s">
        <v>120</v>
      </c>
      <c r="E116">
        <v>0</v>
      </c>
      <c r="F116" t="s">
        <v>2917</v>
      </c>
      <c r="G116" t="s">
        <v>229</v>
      </c>
      <c r="H116" t="s">
        <v>228</v>
      </c>
      <c r="M116">
        <v>35</v>
      </c>
      <c r="N116" t="s">
        <v>869</v>
      </c>
      <c r="O116" t="s">
        <v>868</v>
      </c>
      <c r="P116">
        <v>4977</v>
      </c>
      <c r="Q116">
        <v>3131</v>
      </c>
      <c r="R116" t="s">
        <v>2916</v>
      </c>
      <c r="S116" t="s">
        <v>2915</v>
      </c>
    </row>
    <row r="117" spans="1:19" x14ac:dyDescent="0.2">
      <c r="A117" t="s">
        <v>2864</v>
      </c>
      <c r="B117" t="s">
        <v>2863</v>
      </c>
      <c r="C117">
        <v>15</v>
      </c>
      <c r="D117" t="s">
        <v>120</v>
      </c>
      <c r="E117">
        <v>0</v>
      </c>
      <c r="F117" t="s">
        <v>2862</v>
      </c>
      <c r="G117" t="s">
        <v>118</v>
      </c>
      <c r="H117" t="s">
        <v>117</v>
      </c>
      <c r="I117">
        <v>0.92673966683640696</v>
      </c>
      <c r="K117">
        <v>3</v>
      </c>
      <c r="M117">
        <v>500</v>
      </c>
      <c r="N117" t="s">
        <v>1533</v>
      </c>
      <c r="O117" t="s">
        <v>2854</v>
      </c>
      <c r="P117">
        <v>11621</v>
      </c>
      <c r="Q117">
        <v>6927</v>
      </c>
      <c r="R117" t="s">
        <v>2861</v>
      </c>
      <c r="S117" t="s">
        <v>2860</v>
      </c>
    </row>
    <row r="118" spans="1:19" x14ac:dyDescent="0.2">
      <c r="A118" t="s">
        <v>2859</v>
      </c>
      <c r="B118" t="s">
        <v>2856</v>
      </c>
      <c r="C118">
        <v>15</v>
      </c>
      <c r="D118" t="s">
        <v>363</v>
      </c>
      <c r="E118">
        <v>0</v>
      </c>
      <c r="F118" t="s">
        <v>2858</v>
      </c>
      <c r="G118" t="s">
        <v>118</v>
      </c>
      <c r="H118" t="s">
        <v>117</v>
      </c>
      <c r="I118">
        <v>0.94983448148587002</v>
      </c>
      <c r="J118">
        <v>0.99414965646339803</v>
      </c>
      <c r="K118">
        <v>5</v>
      </c>
      <c r="L118">
        <v>8</v>
      </c>
      <c r="M118">
        <v>500</v>
      </c>
      <c r="N118" t="s">
        <v>1533</v>
      </c>
      <c r="O118" t="s">
        <v>2854</v>
      </c>
      <c r="P118">
        <v>11630</v>
      </c>
      <c r="Q118">
        <v>6928</v>
      </c>
      <c r="R118" t="s">
        <v>2853</v>
      </c>
      <c r="S118" t="s">
        <v>2852</v>
      </c>
    </row>
    <row r="119" spans="1:19" x14ac:dyDescent="0.2">
      <c r="A119" t="s">
        <v>2851</v>
      </c>
      <c r="B119" t="s">
        <v>2850</v>
      </c>
      <c r="C119">
        <v>14</v>
      </c>
      <c r="D119" t="s">
        <v>363</v>
      </c>
      <c r="E119">
        <v>0</v>
      </c>
      <c r="F119" t="s">
        <v>2849</v>
      </c>
      <c r="G119" t="s">
        <v>118</v>
      </c>
      <c r="H119" t="s">
        <v>117</v>
      </c>
      <c r="I119">
        <v>0.98471668995639805</v>
      </c>
      <c r="J119">
        <v>0.98083724257864202</v>
      </c>
      <c r="K119">
        <v>49</v>
      </c>
      <c r="L119">
        <v>33</v>
      </c>
      <c r="M119">
        <v>500</v>
      </c>
      <c r="N119" t="s">
        <v>1304</v>
      </c>
      <c r="O119" t="s">
        <v>2843</v>
      </c>
      <c r="P119">
        <v>5024</v>
      </c>
      <c r="Q119">
        <v>3172</v>
      </c>
      <c r="R119" t="s">
        <v>2848</v>
      </c>
      <c r="S119" t="s">
        <v>2847</v>
      </c>
    </row>
    <row r="120" spans="1:19" x14ac:dyDescent="0.2">
      <c r="A120" t="s">
        <v>2846</v>
      </c>
      <c r="B120" t="s">
        <v>2845</v>
      </c>
      <c r="C120">
        <v>14</v>
      </c>
      <c r="D120" t="s">
        <v>388</v>
      </c>
      <c r="E120">
        <v>0</v>
      </c>
      <c r="F120" t="s">
        <v>2844</v>
      </c>
      <c r="G120" t="s">
        <v>118</v>
      </c>
      <c r="H120" t="s">
        <v>117</v>
      </c>
      <c r="I120">
        <v>0.982908501073674</v>
      </c>
      <c r="K120">
        <v>6</v>
      </c>
      <c r="M120">
        <v>500</v>
      </c>
      <c r="N120" t="s">
        <v>1304</v>
      </c>
      <c r="O120" t="s">
        <v>2843</v>
      </c>
      <c r="P120">
        <v>5026</v>
      </c>
      <c r="Q120">
        <v>3174</v>
      </c>
      <c r="R120" t="s">
        <v>2842</v>
      </c>
      <c r="S120" t="s">
        <v>2841</v>
      </c>
    </row>
    <row r="121" spans="1:19" x14ac:dyDescent="0.2">
      <c r="A121" t="s">
        <v>2840</v>
      </c>
      <c r="B121" t="s">
        <v>2839</v>
      </c>
      <c r="C121">
        <v>11</v>
      </c>
      <c r="D121" t="s">
        <v>388</v>
      </c>
      <c r="E121">
        <v>0</v>
      </c>
      <c r="F121" t="s">
        <v>2838</v>
      </c>
      <c r="G121" t="s">
        <v>118</v>
      </c>
      <c r="H121" t="s">
        <v>117</v>
      </c>
      <c r="J121">
        <v>0.976306190457919</v>
      </c>
      <c r="L121">
        <v>24</v>
      </c>
      <c r="M121">
        <v>512</v>
      </c>
      <c r="N121" t="s">
        <v>1804</v>
      </c>
      <c r="O121" t="s">
        <v>1803</v>
      </c>
      <c r="P121">
        <v>8138</v>
      </c>
      <c r="Q121">
        <v>3175</v>
      </c>
      <c r="R121" t="s">
        <v>2837</v>
      </c>
      <c r="S121" t="s">
        <v>2836</v>
      </c>
    </row>
    <row r="122" spans="1:19" x14ac:dyDescent="0.2">
      <c r="A122" t="s">
        <v>2829</v>
      </c>
      <c r="B122" t="s">
        <v>2826</v>
      </c>
      <c r="C122">
        <v>15</v>
      </c>
      <c r="D122" t="s">
        <v>363</v>
      </c>
      <c r="E122">
        <v>0</v>
      </c>
      <c r="F122" t="s">
        <v>2828</v>
      </c>
      <c r="G122" t="s">
        <v>118</v>
      </c>
      <c r="H122" t="s">
        <v>117</v>
      </c>
      <c r="I122">
        <v>0.99655769604379596</v>
      </c>
      <c r="J122">
        <v>0.98434607801696705</v>
      </c>
      <c r="K122">
        <v>56</v>
      </c>
      <c r="L122">
        <v>32</v>
      </c>
      <c r="M122">
        <v>510</v>
      </c>
      <c r="N122" t="s">
        <v>2806</v>
      </c>
      <c r="O122" t="s">
        <v>2824</v>
      </c>
      <c r="P122">
        <v>5224</v>
      </c>
      <c r="Q122">
        <v>3297</v>
      </c>
      <c r="R122" t="s">
        <v>2823</v>
      </c>
      <c r="S122" t="s">
        <v>2822</v>
      </c>
    </row>
    <row r="123" spans="1:19" x14ac:dyDescent="0.2">
      <c r="A123" t="s">
        <v>2821</v>
      </c>
      <c r="B123" t="s">
        <v>2820</v>
      </c>
      <c r="C123">
        <v>14</v>
      </c>
      <c r="D123" t="s">
        <v>363</v>
      </c>
      <c r="E123">
        <v>0</v>
      </c>
      <c r="F123" t="s">
        <v>2819</v>
      </c>
      <c r="G123" t="s">
        <v>229</v>
      </c>
      <c r="H123" t="s">
        <v>228</v>
      </c>
      <c r="M123">
        <v>1043</v>
      </c>
      <c r="N123" t="s">
        <v>2806</v>
      </c>
      <c r="O123" t="s">
        <v>2818</v>
      </c>
      <c r="P123">
        <v>5225</v>
      </c>
      <c r="Q123">
        <v>3298</v>
      </c>
      <c r="R123" t="s">
        <v>2817</v>
      </c>
      <c r="S123" t="s">
        <v>2816</v>
      </c>
    </row>
    <row r="124" spans="1:19" x14ac:dyDescent="0.2">
      <c r="A124" t="s">
        <v>2800</v>
      </c>
      <c r="B124" t="s">
        <v>2799</v>
      </c>
      <c r="C124">
        <v>10</v>
      </c>
      <c r="D124" t="s">
        <v>363</v>
      </c>
      <c r="E124">
        <v>0</v>
      </c>
      <c r="F124" t="s">
        <v>2798</v>
      </c>
      <c r="G124" t="s">
        <v>118</v>
      </c>
      <c r="H124" t="s">
        <v>117</v>
      </c>
      <c r="I124">
        <v>0.91487648310903302</v>
      </c>
      <c r="J124">
        <v>0.98715436944776702</v>
      </c>
      <c r="K124">
        <v>49</v>
      </c>
      <c r="L124">
        <v>10</v>
      </c>
      <c r="M124">
        <v>502</v>
      </c>
      <c r="N124" t="s">
        <v>819</v>
      </c>
      <c r="O124" t="s">
        <v>2797</v>
      </c>
      <c r="P124">
        <v>11623</v>
      </c>
      <c r="Q124">
        <v>6938</v>
      </c>
      <c r="R124" t="s">
        <v>2796</v>
      </c>
      <c r="S124" t="s">
        <v>2795</v>
      </c>
    </row>
    <row r="125" spans="1:19" x14ac:dyDescent="0.2">
      <c r="A125" t="s">
        <v>2794</v>
      </c>
      <c r="B125" t="s">
        <v>28</v>
      </c>
      <c r="C125">
        <v>12</v>
      </c>
      <c r="D125" t="s">
        <v>120</v>
      </c>
      <c r="E125">
        <v>0</v>
      </c>
      <c r="F125" t="s">
        <v>2793</v>
      </c>
      <c r="G125" t="s">
        <v>229</v>
      </c>
      <c r="H125" t="s">
        <v>228</v>
      </c>
      <c r="M125">
        <v>10</v>
      </c>
      <c r="N125" t="s">
        <v>1660</v>
      </c>
      <c r="O125" t="s">
        <v>2640</v>
      </c>
      <c r="P125">
        <v>5100</v>
      </c>
      <c r="Q125">
        <v>3206</v>
      </c>
      <c r="R125" t="s">
        <v>2792</v>
      </c>
      <c r="S125" t="s">
        <v>2791</v>
      </c>
    </row>
    <row r="126" spans="1:19" x14ac:dyDescent="0.2">
      <c r="A126" t="s">
        <v>2785</v>
      </c>
      <c r="B126" t="s">
        <v>2784</v>
      </c>
      <c r="C126">
        <v>11</v>
      </c>
      <c r="D126" t="s">
        <v>120</v>
      </c>
      <c r="E126">
        <v>0</v>
      </c>
      <c r="F126" t="s">
        <v>2783</v>
      </c>
      <c r="G126" t="s">
        <v>229</v>
      </c>
      <c r="H126" t="s">
        <v>228</v>
      </c>
      <c r="M126">
        <v>18</v>
      </c>
      <c r="N126" t="s">
        <v>1660</v>
      </c>
      <c r="O126" t="s">
        <v>2640</v>
      </c>
      <c r="P126">
        <v>5102</v>
      </c>
      <c r="Q126">
        <v>3209</v>
      </c>
      <c r="R126" t="s">
        <v>2782</v>
      </c>
      <c r="S126" t="s">
        <v>2781</v>
      </c>
    </row>
    <row r="127" spans="1:19" x14ac:dyDescent="0.2">
      <c r="A127" t="s">
        <v>2780</v>
      </c>
      <c r="B127" t="s">
        <v>2779</v>
      </c>
      <c r="C127">
        <v>10</v>
      </c>
      <c r="D127" t="s">
        <v>120</v>
      </c>
      <c r="E127">
        <v>0</v>
      </c>
      <c r="F127" t="s">
        <v>2778</v>
      </c>
      <c r="G127" t="s">
        <v>229</v>
      </c>
      <c r="H127" t="s">
        <v>228</v>
      </c>
      <c r="M127">
        <v>8</v>
      </c>
      <c r="N127" t="s">
        <v>1660</v>
      </c>
      <c r="O127" t="s">
        <v>2747</v>
      </c>
      <c r="P127">
        <v>5099</v>
      </c>
      <c r="Q127">
        <v>3198</v>
      </c>
      <c r="R127" t="s">
        <v>2777</v>
      </c>
      <c r="S127" t="s">
        <v>2776</v>
      </c>
    </row>
    <row r="128" spans="1:19" x14ac:dyDescent="0.2">
      <c r="A128" t="s">
        <v>2760</v>
      </c>
      <c r="B128" t="s">
        <v>2759</v>
      </c>
      <c r="C128">
        <v>11</v>
      </c>
      <c r="D128" t="s">
        <v>388</v>
      </c>
      <c r="E128">
        <v>0</v>
      </c>
      <c r="F128" t="s">
        <v>2758</v>
      </c>
      <c r="G128" t="s">
        <v>118</v>
      </c>
      <c r="H128" t="s">
        <v>117</v>
      </c>
      <c r="I128">
        <v>0.88300622435315002</v>
      </c>
      <c r="J128">
        <v>0.75723933218533501</v>
      </c>
      <c r="K128">
        <v>5</v>
      </c>
      <c r="L128">
        <v>8</v>
      </c>
      <c r="M128">
        <v>500</v>
      </c>
      <c r="N128" t="s">
        <v>1660</v>
      </c>
      <c r="O128" t="s">
        <v>2640</v>
      </c>
      <c r="P128">
        <v>5109</v>
      </c>
      <c r="Q128">
        <v>3205</v>
      </c>
      <c r="R128" t="s">
        <v>2757</v>
      </c>
      <c r="S128" t="s">
        <v>2756</v>
      </c>
    </row>
    <row r="129" spans="1:19" x14ac:dyDescent="0.2">
      <c r="A129" t="s">
        <v>2755</v>
      </c>
      <c r="B129" t="s">
        <v>2754</v>
      </c>
      <c r="C129">
        <v>10</v>
      </c>
      <c r="D129" t="s">
        <v>363</v>
      </c>
      <c r="E129">
        <v>0</v>
      </c>
      <c r="F129" t="s">
        <v>2753</v>
      </c>
      <c r="G129" t="s">
        <v>118</v>
      </c>
      <c r="H129" t="s">
        <v>117</v>
      </c>
      <c r="I129">
        <v>0.84584777911805598</v>
      </c>
      <c r="K129">
        <v>9</v>
      </c>
      <c r="M129">
        <v>500</v>
      </c>
      <c r="N129" t="s">
        <v>1660</v>
      </c>
      <c r="O129" t="s">
        <v>2640</v>
      </c>
      <c r="P129">
        <v>5112</v>
      </c>
      <c r="Q129">
        <v>10481</v>
      </c>
      <c r="R129" t="s">
        <v>2752</v>
      </c>
      <c r="S129" t="s">
        <v>2751</v>
      </c>
    </row>
    <row r="130" spans="1:19" x14ac:dyDescent="0.2">
      <c r="A130" t="s">
        <v>2733</v>
      </c>
      <c r="B130" t="s">
        <v>2732</v>
      </c>
      <c r="C130">
        <v>8</v>
      </c>
      <c r="D130" t="s">
        <v>388</v>
      </c>
      <c r="E130">
        <v>0</v>
      </c>
      <c r="F130" t="s">
        <v>2731</v>
      </c>
      <c r="G130" t="s">
        <v>118</v>
      </c>
      <c r="H130" t="s">
        <v>117</v>
      </c>
      <c r="I130">
        <v>0.49071066794610502</v>
      </c>
      <c r="J130">
        <v>0.894377361122623</v>
      </c>
      <c r="K130">
        <v>2</v>
      </c>
      <c r="L130">
        <v>12</v>
      </c>
      <c r="M130">
        <v>502</v>
      </c>
      <c r="N130" t="s">
        <v>1660</v>
      </c>
      <c r="O130" t="s">
        <v>2652</v>
      </c>
      <c r="P130">
        <v>5115</v>
      </c>
      <c r="Q130">
        <v>3214</v>
      </c>
      <c r="R130" t="s">
        <v>2730</v>
      </c>
      <c r="S130" t="s">
        <v>2729</v>
      </c>
    </row>
    <row r="131" spans="1:19" x14ac:dyDescent="0.2">
      <c r="A131" t="s">
        <v>2724</v>
      </c>
      <c r="B131" t="s">
        <v>2723</v>
      </c>
      <c r="C131">
        <v>10</v>
      </c>
      <c r="D131" t="s">
        <v>120</v>
      </c>
      <c r="E131">
        <v>0</v>
      </c>
      <c r="F131" t="s">
        <v>2722</v>
      </c>
      <c r="G131" t="s">
        <v>229</v>
      </c>
      <c r="H131" t="s">
        <v>228</v>
      </c>
      <c r="M131">
        <v>28</v>
      </c>
      <c r="N131" t="s">
        <v>1660</v>
      </c>
      <c r="O131" t="s">
        <v>2692</v>
      </c>
      <c r="P131">
        <v>5118</v>
      </c>
      <c r="Q131">
        <v>3217</v>
      </c>
      <c r="R131" t="s">
        <v>2721</v>
      </c>
      <c r="S131" t="s">
        <v>2720</v>
      </c>
    </row>
    <row r="132" spans="1:19" x14ac:dyDescent="0.2">
      <c r="A132" t="s">
        <v>2719</v>
      </c>
      <c r="B132" t="s">
        <v>64</v>
      </c>
      <c r="C132">
        <v>11</v>
      </c>
      <c r="D132" t="s">
        <v>120</v>
      </c>
      <c r="E132">
        <v>0</v>
      </c>
      <c r="F132" t="s">
        <v>2718</v>
      </c>
      <c r="G132" t="s">
        <v>229</v>
      </c>
      <c r="H132" t="s">
        <v>228</v>
      </c>
      <c r="M132">
        <v>26</v>
      </c>
      <c r="N132" t="s">
        <v>1660</v>
      </c>
      <c r="O132" t="s">
        <v>2646</v>
      </c>
      <c r="P132">
        <v>5119</v>
      </c>
      <c r="Q132">
        <v>3218</v>
      </c>
      <c r="R132" t="s">
        <v>2717</v>
      </c>
      <c r="S132" t="s">
        <v>2716</v>
      </c>
    </row>
    <row r="133" spans="1:19" x14ac:dyDescent="0.2">
      <c r="A133" t="s">
        <v>2684</v>
      </c>
      <c r="B133" t="s">
        <v>52</v>
      </c>
      <c r="C133">
        <v>10</v>
      </c>
      <c r="D133" t="s">
        <v>120</v>
      </c>
      <c r="E133">
        <v>0</v>
      </c>
      <c r="F133" t="s">
        <v>2683</v>
      </c>
      <c r="G133" t="s">
        <v>118</v>
      </c>
      <c r="H133" t="s">
        <v>117</v>
      </c>
      <c r="I133">
        <v>0.87124276059443895</v>
      </c>
      <c r="K133">
        <v>2</v>
      </c>
      <c r="M133">
        <v>500</v>
      </c>
      <c r="N133" t="s">
        <v>1660</v>
      </c>
      <c r="O133" t="s">
        <v>2640</v>
      </c>
      <c r="P133">
        <v>5130</v>
      </c>
      <c r="Q133">
        <v>3225</v>
      </c>
      <c r="R133" t="s">
        <v>2682</v>
      </c>
      <c r="S133" t="s">
        <v>2681</v>
      </c>
    </row>
    <row r="134" spans="1:19" x14ac:dyDescent="0.2">
      <c r="A134" t="s">
        <v>2630</v>
      </c>
      <c r="B134" t="s">
        <v>2629</v>
      </c>
      <c r="C134">
        <v>8</v>
      </c>
      <c r="D134" t="s">
        <v>120</v>
      </c>
      <c r="E134">
        <v>0</v>
      </c>
      <c r="F134" t="s">
        <v>2628</v>
      </c>
      <c r="G134" t="s">
        <v>229</v>
      </c>
      <c r="H134" t="s">
        <v>228</v>
      </c>
      <c r="M134">
        <v>61</v>
      </c>
      <c r="N134" t="s">
        <v>137</v>
      </c>
      <c r="O134" t="s">
        <v>2627</v>
      </c>
      <c r="P134">
        <v>13176</v>
      </c>
      <c r="Q134">
        <v>10320</v>
      </c>
      <c r="R134" t="s">
        <v>2626</v>
      </c>
      <c r="S134" t="s">
        <v>2625</v>
      </c>
    </row>
    <row r="135" spans="1:19" x14ac:dyDescent="0.2">
      <c r="A135" t="s">
        <v>2624</v>
      </c>
      <c r="B135" t="s">
        <v>2623</v>
      </c>
      <c r="C135">
        <v>12</v>
      </c>
      <c r="D135" t="s">
        <v>120</v>
      </c>
      <c r="E135">
        <v>0</v>
      </c>
      <c r="F135" t="s">
        <v>2622</v>
      </c>
      <c r="G135" t="s">
        <v>229</v>
      </c>
      <c r="H135" t="s">
        <v>228</v>
      </c>
      <c r="M135">
        <v>24</v>
      </c>
      <c r="N135" t="s">
        <v>137</v>
      </c>
      <c r="O135" t="s">
        <v>2621</v>
      </c>
      <c r="P135">
        <v>6090</v>
      </c>
      <c r="Q135">
        <v>3642</v>
      </c>
      <c r="R135" t="s">
        <v>2620</v>
      </c>
      <c r="S135" t="s">
        <v>2619</v>
      </c>
    </row>
    <row r="136" spans="1:19" x14ac:dyDescent="0.2">
      <c r="A136" t="s">
        <v>2618</v>
      </c>
      <c r="B136" t="s">
        <v>2617</v>
      </c>
      <c r="C136">
        <v>20</v>
      </c>
      <c r="D136" t="s">
        <v>363</v>
      </c>
      <c r="E136">
        <v>0</v>
      </c>
      <c r="F136" t="s">
        <v>2616</v>
      </c>
      <c r="G136" t="s">
        <v>118</v>
      </c>
      <c r="H136" t="s">
        <v>117</v>
      </c>
      <c r="I136">
        <v>0.99731057847021698</v>
      </c>
      <c r="J136">
        <v>0.99762313226683696</v>
      </c>
      <c r="K136">
        <v>23</v>
      </c>
      <c r="L136">
        <v>18</v>
      </c>
      <c r="M136">
        <v>499</v>
      </c>
      <c r="N136" t="s">
        <v>2573</v>
      </c>
      <c r="O136" t="s">
        <v>2615</v>
      </c>
      <c r="P136">
        <v>6116</v>
      </c>
      <c r="Q136">
        <v>3659</v>
      </c>
      <c r="R136" t="s">
        <v>2614</v>
      </c>
      <c r="S136" t="s">
        <v>2613</v>
      </c>
    </row>
    <row r="137" spans="1:19" x14ac:dyDescent="0.2">
      <c r="A137" t="s">
        <v>2612</v>
      </c>
      <c r="B137" t="s">
        <v>2611</v>
      </c>
      <c r="C137">
        <v>20</v>
      </c>
      <c r="D137" t="s">
        <v>363</v>
      </c>
      <c r="E137">
        <v>0</v>
      </c>
      <c r="F137" t="s">
        <v>2610</v>
      </c>
      <c r="G137" t="s">
        <v>118</v>
      </c>
      <c r="H137" t="s">
        <v>117</v>
      </c>
      <c r="I137">
        <v>0.99350959900887603</v>
      </c>
      <c r="K137">
        <v>8</v>
      </c>
      <c r="M137">
        <v>499</v>
      </c>
      <c r="N137" t="s">
        <v>2573</v>
      </c>
      <c r="O137" t="s">
        <v>2609</v>
      </c>
      <c r="P137">
        <v>6117</v>
      </c>
      <c r="Q137">
        <v>3660</v>
      </c>
      <c r="R137" t="s">
        <v>2608</v>
      </c>
      <c r="S137" t="s">
        <v>2607</v>
      </c>
    </row>
    <row r="138" spans="1:19" x14ac:dyDescent="0.2">
      <c r="A138" t="s">
        <v>2606</v>
      </c>
      <c r="B138" t="s">
        <v>2605</v>
      </c>
      <c r="C138">
        <v>20</v>
      </c>
      <c r="D138" t="s">
        <v>388</v>
      </c>
      <c r="E138">
        <v>0</v>
      </c>
      <c r="F138" t="s">
        <v>2604</v>
      </c>
      <c r="G138" t="s">
        <v>118</v>
      </c>
      <c r="H138" t="s">
        <v>117</v>
      </c>
      <c r="I138">
        <v>0.78906548981472802</v>
      </c>
      <c r="J138">
        <v>0.94777847032568596</v>
      </c>
      <c r="K138">
        <v>6</v>
      </c>
      <c r="L138">
        <v>21</v>
      </c>
      <c r="M138">
        <v>505</v>
      </c>
      <c r="N138" t="s">
        <v>2573</v>
      </c>
      <c r="O138" t="s">
        <v>2603</v>
      </c>
      <c r="P138">
        <v>6118</v>
      </c>
      <c r="Q138">
        <v>3661</v>
      </c>
      <c r="R138" t="s">
        <v>2602</v>
      </c>
      <c r="S138" t="s">
        <v>2601</v>
      </c>
    </row>
    <row r="139" spans="1:19" x14ac:dyDescent="0.2">
      <c r="A139" t="s">
        <v>2600</v>
      </c>
      <c r="B139" t="s">
        <v>2599</v>
      </c>
      <c r="C139">
        <v>18</v>
      </c>
      <c r="D139" t="s">
        <v>363</v>
      </c>
      <c r="E139">
        <v>0</v>
      </c>
      <c r="F139" t="s">
        <v>2598</v>
      </c>
      <c r="G139" t="s">
        <v>118</v>
      </c>
      <c r="H139" t="s">
        <v>117</v>
      </c>
      <c r="I139">
        <v>0.95122828616510902</v>
      </c>
      <c r="J139">
        <v>0.97673824949347499</v>
      </c>
      <c r="K139">
        <v>19</v>
      </c>
      <c r="L139">
        <v>61</v>
      </c>
      <c r="M139">
        <v>500</v>
      </c>
      <c r="N139" t="s">
        <v>2573</v>
      </c>
      <c r="O139" t="s">
        <v>2597</v>
      </c>
      <c r="P139">
        <v>6119</v>
      </c>
      <c r="Q139">
        <v>3662</v>
      </c>
      <c r="R139" t="s">
        <v>2596</v>
      </c>
      <c r="S139" t="s">
        <v>2595</v>
      </c>
    </row>
    <row r="140" spans="1:19" x14ac:dyDescent="0.2">
      <c r="A140" t="s">
        <v>2588</v>
      </c>
      <c r="B140" t="s">
        <v>2587</v>
      </c>
      <c r="C140">
        <v>10</v>
      </c>
      <c r="D140" t="s">
        <v>120</v>
      </c>
      <c r="E140">
        <v>0</v>
      </c>
      <c r="F140" t="s">
        <v>2586</v>
      </c>
      <c r="G140" t="s">
        <v>229</v>
      </c>
      <c r="H140" t="s">
        <v>228</v>
      </c>
      <c r="M140">
        <v>40</v>
      </c>
      <c r="N140" t="s">
        <v>2573</v>
      </c>
      <c r="O140" t="s">
        <v>2585</v>
      </c>
      <c r="P140">
        <v>6122</v>
      </c>
      <c r="Q140">
        <v>3665</v>
      </c>
      <c r="R140" t="s">
        <v>2584</v>
      </c>
      <c r="S140" t="s">
        <v>2583</v>
      </c>
    </row>
    <row r="141" spans="1:19" x14ac:dyDescent="0.2">
      <c r="A141" t="s">
        <v>2582</v>
      </c>
      <c r="B141" t="s">
        <v>2581</v>
      </c>
      <c r="C141">
        <v>20</v>
      </c>
      <c r="D141" t="s">
        <v>388</v>
      </c>
      <c r="E141">
        <v>0</v>
      </c>
      <c r="F141" t="s">
        <v>2580</v>
      </c>
      <c r="G141" t="s">
        <v>118</v>
      </c>
      <c r="H141" t="s">
        <v>117</v>
      </c>
      <c r="J141">
        <v>0.99600721487811406</v>
      </c>
      <c r="L141">
        <v>59</v>
      </c>
      <c r="M141">
        <v>505</v>
      </c>
      <c r="N141" t="s">
        <v>2573</v>
      </c>
      <c r="O141" t="s">
        <v>2579</v>
      </c>
      <c r="P141">
        <v>5358</v>
      </c>
      <c r="Q141">
        <v>3394</v>
      </c>
      <c r="R141" t="s">
        <v>2578</v>
      </c>
      <c r="S141" t="s">
        <v>2577</v>
      </c>
    </row>
    <row r="142" spans="1:19" x14ac:dyDescent="0.2">
      <c r="A142" t="s">
        <v>2576</v>
      </c>
      <c r="B142" t="s">
        <v>2575</v>
      </c>
      <c r="C142">
        <v>12</v>
      </c>
      <c r="D142" t="s">
        <v>120</v>
      </c>
      <c r="E142">
        <v>0</v>
      </c>
      <c r="F142" t="s">
        <v>2574</v>
      </c>
      <c r="G142" t="s">
        <v>229</v>
      </c>
      <c r="H142" t="s">
        <v>228</v>
      </c>
      <c r="M142">
        <v>5</v>
      </c>
      <c r="N142" t="s">
        <v>2573</v>
      </c>
      <c r="O142" t="s">
        <v>2572</v>
      </c>
      <c r="P142">
        <v>6131</v>
      </c>
      <c r="Q142">
        <v>10379</v>
      </c>
      <c r="R142" t="s">
        <v>2571</v>
      </c>
      <c r="S142" t="s">
        <v>2570</v>
      </c>
    </row>
    <row r="143" spans="1:19" x14ac:dyDescent="0.2">
      <c r="A143" t="s">
        <v>2558</v>
      </c>
      <c r="B143" t="s">
        <v>2557</v>
      </c>
      <c r="C143">
        <v>9</v>
      </c>
      <c r="D143" t="s">
        <v>363</v>
      </c>
      <c r="E143">
        <v>0</v>
      </c>
      <c r="F143" t="s">
        <v>2556</v>
      </c>
      <c r="G143" t="s">
        <v>118</v>
      </c>
      <c r="H143" t="s">
        <v>117</v>
      </c>
      <c r="I143">
        <v>0.80520923521403598</v>
      </c>
      <c r="J143">
        <v>0.85803562654372201</v>
      </c>
      <c r="K143">
        <v>3</v>
      </c>
      <c r="L143">
        <v>13</v>
      </c>
      <c r="M143">
        <v>500</v>
      </c>
      <c r="N143" t="s">
        <v>2388</v>
      </c>
      <c r="O143" t="s">
        <v>2550</v>
      </c>
      <c r="P143">
        <v>6132</v>
      </c>
      <c r="Q143">
        <v>3670</v>
      </c>
      <c r="R143" t="s">
        <v>2555</v>
      </c>
      <c r="S143" t="s">
        <v>2554</v>
      </c>
    </row>
    <row r="144" spans="1:19" x14ac:dyDescent="0.2">
      <c r="A144" t="s">
        <v>2541</v>
      </c>
      <c r="B144" t="s">
        <v>2540</v>
      </c>
      <c r="C144">
        <v>10</v>
      </c>
      <c r="D144" t="s">
        <v>120</v>
      </c>
      <c r="E144">
        <v>0</v>
      </c>
      <c r="F144" t="s">
        <v>2539</v>
      </c>
      <c r="G144" t="s">
        <v>118</v>
      </c>
      <c r="H144" t="s">
        <v>117</v>
      </c>
      <c r="I144">
        <v>0.949447582468814</v>
      </c>
      <c r="K144">
        <v>4</v>
      </c>
      <c r="M144">
        <v>499</v>
      </c>
      <c r="N144" t="s">
        <v>819</v>
      </c>
      <c r="O144" t="s">
        <v>2538</v>
      </c>
      <c r="P144">
        <v>11634</v>
      </c>
      <c r="Q144">
        <v>6925</v>
      </c>
      <c r="R144" t="s">
        <v>2537</v>
      </c>
      <c r="S144" t="s">
        <v>2536</v>
      </c>
    </row>
    <row r="145" spans="1:19" x14ac:dyDescent="0.2">
      <c r="A145" t="s">
        <v>2528</v>
      </c>
      <c r="B145" t="s">
        <v>2527</v>
      </c>
      <c r="C145">
        <v>11</v>
      </c>
      <c r="D145" t="s">
        <v>363</v>
      </c>
      <c r="E145">
        <v>0</v>
      </c>
      <c r="F145" t="s">
        <v>2526</v>
      </c>
      <c r="G145" t="s">
        <v>118</v>
      </c>
      <c r="H145" t="s">
        <v>117</v>
      </c>
      <c r="I145">
        <v>0.97674843913059395</v>
      </c>
      <c r="J145">
        <v>0.91865791720645595</v>
      </c>
      <c r="K145">
        <v>8</v>
      </c>
      <c r="L145">
        <v>25</v>
      </c>
      <c r="M145">
        <v>500</v>
      </c>
      <c r="N145" t="s">
        <v>2082</v>
      </c>
      <c r="O145" t="s">
        <v>2515</v>
      </c>
      <c r="P145">
        <v>6205</v>
      </c>
      <c r="Q145">
        <v>3726</v>
      </c>
      <c r="R145" t="s">
        <v>2525</v>
      </c>
      <c r="S145" t="s">
        <v>2524</v>
      </c>
    </row>
    <row r="146" spans="1:19" x14ac:dyDescent="0.2">
      <c r="A146" t="s">
        <v>2523</v>
      </c>
      <c r="B146" t="s">
        <v>2522</v>
      </c>
      <c r="C146">
        <v>11</v>
      </c>
      <c r="D146" t="s">
        <v>363</v>
      </c>
      <c r="E146">
        <v>0</v>
      </c>
      <c r="F146" t="s">
        <v>2521</v>
      </c>
      <c r="G146" t="s">
        <v>118</v>
      </c>
      <c r="H146" t="s">
        <v>117</v>
      </c>
      <c r="I146">
        <v>0.99634458873996901</v>
      </c>
      <c r="J146">
        <v>0.98684958710784099</v>
      </c>
      <c r="K146">
        <v>64</v>
      </c>
      <c r="L146">
        <v>21</v>
      </c>
      <c r="M146">
        <v>450</v>
      </c>
      <c r="N146" t="s">
        <v>2082</v>
      </c>
      <c r="O146" t="s">
        <v>2515</v>
      </c>
      <c r="P146">
        <v>6206</v>
      </c>
      <c r="Q146">
        <v>3727</v>
      </c>
      <c r="R146" t="s">
        <v>2520</v>
      </c>
      <c r="S146" t="s">
        <v>2519</v>
      </c>
    </row>
    <row r="147" spans="1:19" x14ac:dyDescent="0.2">
      <c r="A147" t="s">
        <v>2518</v>
      </c>
      <c r="B147" t="s">
        <v>2517</v>
      </c>
      <c r="C147">
        <v>11</v>
      </c>
      <c r="D147" t="s">
        <v>363</v>
      </c>
      <c r="E147">
        <v>0</v>
      </c>
      <c r="F147" t="s">
        <v>2516</v>
      </c>
      <c r="G147" t="s">
        <v>118</v>
      </c>
      <c r="H147" t="s">
        <v>117</v>
      </c>
      <c r="I147">
        <v>0.95391461491566398</v>
      </c>
      <c r="J147">
        <v>0.93480950841431598</v>
      </c>
      <c r="K147">
        <v>56</v>
      </c>
      <c r="L147">
        <v>39</v>
      </c>
      <c r="M147">
        <v>500</v>
      </c>
      <c r="N147" t="s">
        <v>2082</v>
      </c>
      <c r="O147" t="s">
        <v>2515</v>
      </c>
      <c r="P147">
        <v>6204</v>
      </c>
      <c r="Q147">
        <v>3725</v>
      </c>
      <c r="R147" t="s">
        <v>2514</v>
      </c>
      <c r="S147" t="s">
        <v>2513</v>
      </c>
    </row>
    <row r="148" spans="1:19" x14ac:dyDescent="0.2">
      <c r="A148" t="s">
        <v>2512</v>
      </c>
      <c r="B148" t="s">
        <v>2507</v>
      </c>
      <c r="C148">
        <v>15</v>
      </c>
      <c r="D148" t="s">
        <v>363</v>
      </c>
      <c r="E148">
        <v>0</v>
      </c>
      <c r="F148" t="s">
        <v>2511</v>
      </c>
      <c r="G148" t="s">
        <v>118</v>
      </c>
      <c r="H148" t="s">
        <v>117</v>
      </c>
      <c r="I148">
        <v>0.899509780902912</v>
      </c>
      <c r="K148">
        <v>37</v>
      </c>
      <c r="M148">
        <v>498</v>
      </c>
      <c r="N148" t="s">
        <v>194</v>
      </c>
      <c r="O148" t="s">
        <v>2505</v>
      </c>
      <c r="P148">
        <v>16682</v>
      </c>
      <c r="Q148">
        <v>10009</v>
      </c>
      <c r="R148" t="s">
        <v>2504</v>
      </c>
      <c r="S148" t="s">
        <v>2503</v>
      </c>
    </row>
    <row r="149" spans="1:19" x14ac:dyDescent="0.2">
      <c r="A149" t="s">
        <v>2502</v>
      </c>
      <c r="B149" t="s">
        <v>2501</v>
      </c>
      <c r="C149">
        <v>11</v>
      </c>
      <c r="D149" t="s">
        <v>120</v>
      </c>
      <c r="E149">
        <v>0</v>
      </c>
      <c r="F149" t="s">
        <v>2500</v>
      </c>
      <c r="G149" t="s">
        <v>118</v>
      </c>
      <c r="H149" t="s">
        <v>117</v>
      </c>
      <c r="I149">
        <v>0.80800962669129595</v>
      </c>
      <c r="K149">
        <v>3</v>
      </c>
      <c r="M149">
        <v>452</v>
      </c>
      <c r="N149" t="s">
        <v>1101</v>
      </c>
      <c r="O149" t="s">
        <v>2444</v>
      </c>
      <c r="P149">
        <v>6346</v>
      </c>
      <c r="Q149">
        <v>11278</v>
      </c>
      <c r="R149" t="s">
        <v>2499</v>
      </c>
      <c r="S149" t="s">
        <v>2498</v>
      </c>
    </row>
    <row r="150" spans="1:19" x14ac:dyDescent="0.2">
      <c r="A150" t="s">
        <v>2487</v>
      </c>
      <c r="B150" t="s">
        <v>2486</v>
      </c>
      <c r="C150">
        <v>19</v>
      </c>
      <c r="D150" t="s">
        <v>363</v>
      </c>
      <c r="E150">
        <v>0</v>
      </c>
      <c r="F150" t="s">
        <v>2485</v>
      </c>
      <c r="G150" t="s">
        <v>118</v>
      </c>
      <c r="H150" t="s">
        <v>117</v>
      </c>
      <c r="I150">
        <v>0.95180965743238199</v>
      </c>
      <c r="J150">
        <v>0.99831685498911704</v>
      </c>
      <c r="K150">
        <v>4</v>
      </c>
      <c r="L150">
        <v>3</v>
      </c>
      <c r="M150">
        <v>481</v>
      </c>
      <c r="N150" t="s">
        <v>1101</v>
      </c>
      <c r="O150" t="s">
        <v>2444</v>
      </c>
      <c r="P150">
        <v>14536</v>
      </c>
      <c r="Q150">
        <v>28999</v>
      </c>
      <c r="R150" t="s">
        <v>2484</v>
      </c>
      <c r="S150" t="s">
        <v>2483</v>
      </c>
    </row>
    <row r="151" spans="1:19" x14ac:dyDescent="0.2">
      <c r="A151" t="s">
        <v>2477</v>
      </c>
      <c r="B151" t="s">
        <v>2476</v>
      </c>
      <c r="C151">
        <v>14</v>
      </c>
      <c r="D151" t="s">
        <v>363</v>
      </c>
      <c r="E151">
        <v>0</v>
      </c>
      <c r="F151" t="s">
        <v>2475</v>
      </c>
      <c r="G151" t="s">
        <v>118</v>
      </c>
      <c r="H151" t="s">
        <v>117</v>
      </c>
      <c r="I151">
        <v>0.94417193197756</v>
      </c>
      <c r="J151">
        <v>0.97283390554998705</v>
      </c>
      <c r="K151">
        <v>5</v>
      </c>
      <c r="L151">
        <v>6</v>
      </c>
      <c r="M151">
        <v>492</v>
      </c>
      <c r="N151" t="s">
        <v>1101</v>
      </c>
      <c r="O151" t="s">
        <v>2444</v>
      </c>
      <c r="P151">
        <v>6345</v>
      </c>
      <c r="Q151">
        <v>10661</v>
      </c>
      <c r="R151" t="s">
        <v>2474</v>
      </c>
      <c r="S151" t="s">
        <v>2473</v>
      </c>
    </row>
    <row r="152" spans="1:19" x14ac:dyDescent="0.2">
      <c r="A152" t="s">
        <v>2472</v>
      </c>
      <c r="B152" t="s">
        <v>2471</v>
      </c>
      <c r="C152">
        <v>19</v>
      </c>
      <c r="D152" t="s">
        <v>388</v>
      </c>
      <c r="E152">
        <v>0</v>
      </c>
      <c r="F152" t="s">
        <v>2470</v>
      </c>
      <c r="G152" t="s">
        <v>118</v>
      </c>
      <c r="H152" t="s">
        <v>117</v>
      </c>
      <c r="I152">
        <v>0.76024161433213</v>
      </c>
      <c r="J152">
        <v>0.99249640160276098</v>
      </c>
      <c r="K152">
        <v>2</v>
      </c>
      <c r="L152">
        <v>7</v>
      </c>
      <c r="M152">
        <v>498</v>
      </c>
      <c r="N152" t="s">
        <v>1101</v>
      </c>
      <c r="O152" t="s">
        <v>2444</v>
      </c>
      <c r="P152">
        <v>16516</v>
      </c>
      <c r="Q152">
        <v>51274</v>
      </c>
      <c r="R152" t="s">
        <v>2469</v>
      </c>
      <c r="S152" t="s">
        <v>2468</v>
      </c>
    </row>
    <row r="153" spans="1:19" x14ac:dyDescent="0.2">
      <c r="A153" t="s">
        <v>2467</v>
      </c>
      <c r="B153" t="s">
        <v>2466</v>
      </c>
      <c r="C153">
        <v>10</v>
      </c>
      <c r="D153" t="s">
        <v>363</v>
      </c>
      <c r="E153">
        <v>0</v>
      </c>
      <c r="F153" t="s">
        <v>2465</v>
      </c>
      <c r="G153" t="s">
        <v>118</v>
      </c>
      <c r="H153" t="s">
        <v>117</v>
      </c>
      <c r="I153">
        <v>0.88837374068965103</v>
      </c>
      <c r="J153">
        <v>0.98292669225628304</v>
      </c>
      <c r="K153">
        <v>11</v>
      </c>
      <c r="L153">
        <v>34</v>
      </c>
      <c r="M153">
        <v>500</v>
      </c>
      <c r="N153" t="s">
        <v>1101</v>
      </c>
      <c r="O153" t="s">
        <v>2444</v>
      </c>
      <c r="P153">
        <v>6348</v>
      </c>
      <c r="Q153">
        <v>9314</v>
      </c>
      <c r="R153" t="s">
        <v>2464</v>
      </c>
      <c r="S153" t="s">
        <v>2463</v>
      </c>
    </row>
    <row r="154" spans="1:19" x14ac:dyDescent="0.2">
      <c r="A154" t="s">
        <v>2462</v>
      </c>
      <c r="B154" t="s">
        <v>2461</v>
      </c>
      <c r="C154">
        <v>14</v>
      </c>
      <c r="D154" t="s">
        <v>363</v>
      </c>
      <c r="E154">
        <v>0</v>
      </c>
      <c r="F154" t="s">
        <v>2460</v>
      </c>
      <c r="G154" t="s">
        <v>118</v>
      </c>
      <c r="H154" t="s">
        <v>117</v>
      </c>
      <c r="I154">
        <v>0.96874062956795604</v>
      </c>
      <c r="J154">
        <v>0.97372664647374996</v>
      </c>
      <c r="K154">
        <v>32</v>
      </c>
      <c r="L154">
        <v>23</v>
      </c>
      <c r="M154">
        <v>502</v>
      </c>
      <c r="N154" t="s">
        <v>1101</v>
      </c>
      <c r="O154" t="s">
        <v>2444</v>
      </c>
      <c r="P154">
        <v>6349</v>
      </c>
      <c r="Q154">
        <v>688</v>
      </c>
      <c r="R154" t="s">
        <v>2459</v>
      </c>
      <c r="S154" t="s">
        <v>2458</v>
      </c>
    </row>
    <row r="155" spans="1:19" x14ac:dyDescent="0.2">
      <c r="A155" t="s">
        <v>2457</v>
      </c>
      <c r="B155" t="s">
        <v>2456</v>
      </c>
      <c r="C155">
        <v>19</v>
      </c>
      <c r="D155" t="s">
        <v>363</v>
      </c>
      <c r="E155">
        <v>0</v>
      </c>
      <c r="F155" t="s">
        <v>2455</v>
      </c>
      <c r="G155" t="s">
        <v>118</v>
      </c>
      <c r="H155" t="s">
        <v>117</v>
      </c>
      <c r="I155">
        <v>0.94644958315156102</v>
      </c>
      <c r="J155">
        <v>0.60407481679785902</v>
      </c>
      <c r="K155">
        <v>16</v>
      </c>
      <c r="L155">
        <v>2</v>
      </c>
      <c r="M155">
        <v>498</v>
      </c>
      <c r="N155" t="s">
        <v>1101</v>
      </c>
      <c r="O155" t="s">
        <v>2444</v>
      </c>
      <c r="P155">
        <v>2235</v>
      </c>
      <c r="Q155">
        <v>1316</v>
      </c>
      <c r="R155" t="s">
        <v>2454</v>
      </c>
      <c r="S155" t="s">
        <v>2453</v>
      </c>
    </row>
    <row r="156" spans="1:19" x14ac:dyDescent="0.2">
      <c r="A156" t="s">
        <v>2452</v>
      </c>
      <c r="B156" t="s">
        <v>2451</v>
      </c>
      <c r="C156">
        <v>9</v>
      </c>
      <c r="D156" t="s">
        <v>120</v>
      </c>
      <c r="E156">
        <v>0</v>
      </c>
      <c r="F156" t="s">
        <v>2450</v>
      </c>
      <c r="G156" t="s">
        <v>229</v>
      </c>
      <c r="H156" t="s">
        <v>228</v>
      </c>
      <c r="M156">
        <v>5</v>
      </c>
      <c r="N156" t="s">
        <v>1101</v>
      </c>
      <c r="O156" t="s">
        <v>2444</v>
      </c>
      <c r="P156">
        <v>6351</v>
      </c>
      <c r="Q156">
        <v>11279</v>
      </c>
      <c r="R156" t="s">
        <v>2449</v>
      </c>
      <c r="S156" t="s">
        <v>2448</v>
      </c>
    </row>
    <row r="157" spans="1:19" x14ac:dyDescent="0.2">
      <c r="A157" t="s">
        <v>2447</v>
      </c>
      <c r="B157" t="s">
        <v>2446</v>
      </c>
      <c r="C157">
        <v>15</v>
      </c>
      <c r="D157" t="s">
        <v>120</v>
      </c>
      <c r="E157">
        <v>0</v>
      </c>
      <c r="F157" t="s">
        <v>2445</v>
      </c>
      <c r="G157" t="s">
        <v>118</v>
      </c>
      <c r="H157" t="s">
        <v>117</v>
      </c>
      <c r="I157">
        <v>0.95361245642953196</v>
      </c>
      <c r="K157">
        <v>3</v>
      </c>
      <c r="M157">
        <v>256</v>
      </c>
      <c r="N157" t="s">
        <v>1101</v>
      </c>
      <c r="O157" t="s">
        <v>2444</v>
      </c>
      <c r="P157">
        <v>1123</v>
      </c>
      <c r="Q157">
        <v>687</v>
      </c>
      <c r="R157" t="s">
        <v>2443</v>
      </c>
      <c r="S157" t="s">
        <v>2442</v>
      </c>
    </row>
    <row r="158" spans="1:19" x14ac:dyDescent="0.2">
      <c r="A158" t="s">
        <v>2435</v>
      </c>
      <c r="B158" t="s">
        <v>2434</v>
      </c>
      <c r="C158">
        <v>14</v>
      </c>
      <c r="D158" t="s">
        <v>363</v>
      </c>
      <c r="E158">
        <v>0</v>
      </c>
      <c r="F158" t="s">
        <v>2433</v>
      </c>
      <c r="G158" t="s">
        <v>118</v>
      </c>
      <c r="H158" t="s">
        <v>117</v>
      </c>
      <c r="I158">
        <v>0.87607492175588497</v>
      </c>
      <c r="K158">
        <v>20</v>
      </c>
      <c r="M158">
        <v>456</v>
      </c>
      <c r="N158" t="s">
        <v>845</v>
      </c>
      <c r="O158" t="s">
        <v>2432</v>
      </c>
      <c r="P158">
        <v>6551</v>
      </c>
      <c r="Q158">
        <v>51176</v>
      </c>
      <c r="R158" t="s">
        <v>2431</v>
      </c>
      <c r="S158" t="s">
        <v>2430</v>
      </c>
    </row>
    <row r="159" spans="1:19" x14ac:dyDescent="0.2">
      <c r="A159" t="s">
        <v>2429</v>
      </c>
      <c r="B159" t="s">
        <v>2428</v>
      </c>
      <c r="C159">
        <v>12</v>
      </c>
      <c r="D159" t="s">
        <v>363</v>
      </c>
      <c r="E159">
        <v>0</v>
      </c>
      <c r="F159" t="s">
        <v>2427</v>
      </c>
      <c r="G159" t="s">
        <v>118</v>
      </c>
      <c r="H159" t="s">
        <v>117</v>
      </c>
      <c r="I159">
        <v>0.82583270498862904</v>
      </c>
      <c r="J159">
        <v>0.93069411134005897</v>
      </c>
      <c r="K159">
        <v>5</v>
      </c>
      <c r="L159">
        <v>12</v>
      </c>
      <c r="M159">
        <v>430</v>
      </c>
      <c r="N159" t="s">
        <v>2388</v>
      </c>
      <c r="O159" t="s">
        <v>2399</v>
      </c>
      <c r="P159">
        <v>6594</v>
      </c>
      <c r="Q159">
        <v>9355</v>
      </c>
      <c r="R159" t="s">
        <v>2426</v>
      </c>
      <c r="S159" t="s">
        <v>2425</v>
      </c>
    </row>
    <row r="160" spans="1:19" x14ac:dyDescent="0.2">
      <c r="A160" t="s">
        <v>2424</v>
      </c>
      <c r="B160" t="s">
        <v>2423</v>
      </c>
      <c r="C160">
        <v>13</v>
      </c>
      <c r="D160" t="s">
        <v>120</v>
      </c>
      <c r="E160">
        <v>0</v>
      </c>
      <c r="F160" t="s">
        <v>2422</v>
      </c>
      <c r="G160" t="s">
        <v>229</v>
      </c>
      <c r="H160" t="s">
        <v>228</v>
      </c>
      <c r="M160">
        <v>72</v>
      </c>
      <c r="N160" t="s">
        <v>2388</v>
      </c>
      <c r="O160" t="s">
        <v>2416</v>
      </c>
      <c r="P160">
        <v>6595</v>
      </c>
      <c r="Q160">
        <v>8022</v>
      </c>
      <c r="R160" t="s">
        <v>2421</v>
      </c>
      <c r="S160" t="s">
        <v>2420</v>
      </c>
    </row>
    <row r="161" spans="1:19" x14ac:dyDescent="0.2">
      <c r="A161" t="s">
        <v>2384</v>
      </c>
      <c r="B161" t="s">
        <v>2383</v>
      </c>
      <c r="C161">
        <v>14</v>
      </c>
      <c r="D161" t="s">
        <v>363</v>
      </c>
      <c r="E161">
        <v>0</v>
      </c>
      <c r="F161" t="s">
        <v>2382</v>
      </c>
      <c r="G161" t="s">
        <v>118</v>
      </c>
      <c r="H161" t="s">
        <v>117</v>
      </c>
      <c r="I161">
        <v>0.85228368619721795</v>
      </c>
      <c r="J161">
        <v>0.80788484576137598</v>
      </c>
      <c r="K161">
        <v>23</v>
      </c>
      <c r="L161">
        <v>3</v>
      </c>
      <c r="M161">
        <v>453</v>
      </c>
      <c r="N161" t="s">
        <v>753</v>
      </c>
      <c r="O161" t="s">
        <v>976</v>
      </c>
      <c r="P161">
        <v>6734</v>
      </c>
      <c r="Q161">
        <v>4066</v>
      </c>
      <c r="R161" t="s">
        <v>2381</v>
      </c>
      <c r="S161" t="s">
        <v>2380</v>
      </c>
    </row>
    <row r="162" spans="1:19" x14ac:dyDescent="0.2">
      <c r="A162" t="s">
        <v>2374</v>
      </c>
      <c r="B162" t="s">
        <v>2373</v>
      </c>
      <c r="C162">
        <v>11</v>
      </c>
      <c r="D162" t="s">
        <v>388</v>
      </c>
      <c r="E162">
        <v>0</v>
      </c>
      <c r="F162" t="s">
        <v>2372</v>
      </c>
      <c r="G162" t="s">
        <v>118</v>
      </c>
      <c r="H162" t="s">
        <v>117</v>
      </c>
      <c r="I162">
        <v>0.70496743157469399</v>
      </c>
      <c r="J162">
        <v>0.95259319518769203</v>
      </c>
      <c r="K162">
        <v>5</v>
      </c>
      <c r="L162">
        <v>3</v>
      </c>
      <c r="M162">
        <v>474</v>
      </c>
      <c r="N162" t="s">
        <v>1834</v>
      </c>
      <c r="O162" t="s">
        <v>1833</v>
      </c>
      <c r="P162">
        <v>6408</v>
      </c>
      <c r="Q162">
        <v>9935</v>
      </c>
      <c r="R162" t="s">
        <v>2371</v>
      </c>
      <c r="S162" t="s">
        <v>2370</v>
      </c>
    </row>
    <row r="163" spans="1:19" x14ac:dyDescent="0.2">
      <c r="A163" t="s">
        <v>2369</v>
      </c>
      <c r="B163" t="s">
        <v>2366</v>
      </c>
      <c r="C163">
        <v>18</v>
      </c>
      <c r="D163" t="s">
        <v>388</v>
      </c>
      <c r="E163">
        <v>0</v>
      </c>
      <c r="F163" t="s">
        <v>2368</v>
      </c>
      <c r="G163" t="s">
        <v>118</v>
      </c>
      <c r="H163" t="s">
        <v>117</v>
      </c>
      <c r="I163">
        <v>0.54447836213752199</v>
      </c>
      <c r="J163">
        <v>0.94545694280034598</v>
      </c>
      <c r="K163">
        <v>2</v>
      </c>
      <c r="L163">
        <v>15</v>
      </c>
      <c r="M163">
        <v>473</v>
      </c>
      <c r="N163" t="s">
        <v>1834</v>
      </c>
      <c r="O163" t="s">
        <v>2350</v>
      </c>
      <c r="P163">
        <v>6780</v>
      </c>
      <c r="Q163">
        <v>23764</v>
      </c>
      <c r="R163" t="s">
        <v>2364</v>
      </c>
      <c r="S163" t="s">
        <v>2363</v>
      </c>
    </row>
    <row r="164" spans="1:19" x14ac:dyDescent="0.2">
      <c r="A164" t="s">
        <v>2362</v>
      </c>
      <c r="B164" t="s">
        <v>2359</v>
      </c>
      <c r="C164">
        <v>18</v>
      </c>
      <c r="D164" t="s">
        <v>363</v>
      </c>
      <c r="E164">
        <v>0</v>
      </c>
      <c r="F164" t="s">
        <v>2361</v>
      </c>
      <c r="G164" t="s">
        <v>118</v>
      </c>
      <c r="H164" t="s">
        <v>117</v>
      </c>
      <c r="I164">
        <v>0.86902795592288196</v>
      </c>
      <c r="J164">
        <v>0.99750657248463603</v>
      </c>
      <c r="K164">
        <v>3</v>
      </c>
      <c r="L164">
        <v>6</v>
      </c>
      <c r="M164">
        <v>430</v>
      </c>
      <c r="N164" t="s">
        <v>1834</v>
      </c>
      <c r="O164" t="s">
        <v>2350</v>
      </c>
      <c r="P164">
        <v>6781</v>
      </c>
      <c r="Q164">
        <v>4097</v>
      </c>
      <c r="R164" t="s">
        <v>2357</v>
      </c>
      <c r="S164" t="s">
        <v>2356</v>
      </c>
    </row>
    <row r="165" spans="1:19" x14ac:dyDescent="0.2">
      <c r="A165" t="s">
        <v>2355</v>
      </c>
      <c r="B165" t="s">
        <v>2352</v>
      </c>
      <c r="C165">
        <v>18</v>
      </c>
      <c r="D165" t="s">
        <v>363</v>
      </c>
      <c r="E165">
        <v>0</v>
      </c>
      <c r="F165" t="s">
        <v>2354</v>
      </c>
      <c r="G165" t="s">
        <v>118</v>
      </c>
      <c r="H165" t="s">
        <v>117</v>
      </c>
      <c r="I165">
        <v>0.98627771974165102</v>
      </c>
      <c r="J165">
        <v>0.98334177483343199</v>
      </c>
      <c r="K165">
        <v>12</v>
      </c>
      <c r="L165">
        <v>11</v>
      </c>
      <c r="M165">
        <v>431</v>
      </c>
      <c r="N165" t="s">
        <v>1834</v>
      </c>
      <c r="O165" t="s">
        <v>2350</v>
      </c>
      <c r="P165">
        <v>6782</v>
      </c>
      <c r="Q165">
        <v>7975</v>
      </c>
      <c r="R165" t="s">
        <v>2349</v>
      </c>
      <c r="S165" t="s">
        <v>2348</v>
      </c>
    </row>
    <row r="166" spans="1:19" x14ac:dyDescent="0.2">
      <c r="A166" t="s">
        <v>2347</v>
      </c>
      <c r="B166" t="s">
        <v>2344</v>
      </c>
      <c r="C166">
        <v>19</v>
      </c>
      <c r="D166" t="s">
        <v>363</v>
      </c>
      <c r="E166">
        <v>0</v>
      </c>
      <c r="F166" t="s">
        <v>2346</v>
      </c>
      <c r="G166" t="s">
        <v>118</v>
      </c>
      <c r="H166" t="s">
        <v>117</v>
      </c>
      <c r="I166">
        <v>0.85287825232572301</v>
      </c>
      <c r="J166">
        <v>0.837257192467179</v>
      </c>
      <c r="K166">
        <v>10</v>
      </c>
      <c r="L166">
        <v>5</v>
      </c>
      <c r="M166">
        <v>500</v>
      </c>
      <c r="N166" t="s">
        <v>1834</v>
      </c>
      <c r="O166" t="s">
        <v>1833</v>
      </c>
      <c r="P166">
        <v>6776</v>
      </c>
      <c r="Q166">
        <v>4094</v>
      </c>
      <c r="R166" t="s">
        <v>2342</v>
      </c>
      <c r="S166" t="s">
        <v>2341</v>
      </c>
    </row>
    <row r="167" spans="1:19" x14ac:dyDescent="0.2">
      <c r="A167" t="s">
        <v>2340</v>
      </c>
      <c r="B167" t="s">
        <v>2339</v>
      </c>
      <c r="C167">
        <v>10</v>
      </c>
      <c r="D167" t="s">
        <v>363</v>
      </c>
      <c r="E167">
        <v>0</v>
      </c>
      <c r="F167" t="s">
        <v>2338</v>
      </c>
      <c r="G167" t="s">
        <v>118</v>
      </c>
      <c r="H167" t="s">
        <v>117</v>
      </c>
      <c r="I167">
        <v>0.94972527210880797</v>
      </c>
      <c r="J167">
        <v>0.94656895122696905</v>
      </c>
      <c r="K167">
        <v>86</v>
      </c>
      <c r="L167">
        <v>14</v>
      </c>
      <c r="M167">
        <v>501</v>
      </c>
      <c r="N167" t="s">
        <v>718</v>
      </c>
      <c r="O167" t="s">
        <v>2178</v>
      </c>
      <c r="P167">
        <v>6913</v>
      </c>
      <c r="Q167">
        <v>4149</v>
      </c>
      <c r="R167" t="s">
        <v>2337</v>
      </c>
      <c r="S167" t="s">
        <v>2336</v>
      </c>
    </row>
    <row r="168" spans="1:19" x14ac:dyDescent="0.2">
      <c r="A168" t="s">
        <v>2335</v>
      </c>
      <c r="B168" t="s">
        <v>45</v>
      </c>
      <c r="C168">
        <v>22</v>
      </c>
      <c r="D168" t="s">
        <v>363</v>
      </c>
      <c r="E168">
        <v>0</v>
      </c>
      <c r="F168" t="s">
        <v>2334</v>
      </c>
      <c r="G168" t="s">
        <v>118</v>
      </c>
      <c r="H168" t="s">
        <v>117</v>
      </c>
      <c r="I168">
        <v>0.95088009803649598</v>
      </c>
      <c r="J168">
        <v>0.96096649810650403</v>
      </c>
      <c r="K168">
        <v>3</v>
      </c>
      <c r="L168">
        <v>5</v>
      </c>
      <c r="M168">
        <v>501</v>
      </c>
      <c r="N168" t="s">
        <v>137</v>
      </c>
      <c r="O168" t="s">
        <v>682</v>
      </c>
      <c r="P168">
        <v>6914</v>
      </c>
      <c r="Q168">
        <v>4150</v>
      </c>
      <c r="R168" t="s">
        <v>2331</v>
      </c>
      <c r="S168" t="s">
        <v>2330</v>
      </c>
    </row>
    <row r="169" spans="1:19" x14ac:dyDescent="0.2">
      <c r="A169" t="s">
        <v>2329</v>
      </c>
      <c r="B169" t="s">
        <v>2328</v>
      </c>
      <c r="C169">
        <v>11</v>
      </c>
      <c r="D169" t="s">
        <v>388</v>
      </c>
      <c r="E169">
        <v>0</v>
      </c>
      <c r="F169" t="s">
        <v>2327</v>
      </c>
      <c r="G169" t="s">
        <v>229</v>
      </c>
      <c r="H169" t="s">
        <v>228</v>
      </c>
      <c r="M169">
        <v>113</v>
      </c>
      <c r="P169">
        <v>6917</v>
      </c>
      <c r="Q169">
        <v>8932</v>
      </c>
      <c r="R169" t="s">
        <v>2326</v>
      </c>
      <c r="S169" t="s">
        <v>2325</v>
      </c>
    </row>
    <row r="170" spans="1:19" x14ac:dyDescent="0.2">
      <c r="A170" t="s">
        <v>2319</v>
      </c>
      <c r="B170" t="s">
        <v>2318</v>
      </c>
      <c r="C170">
        <v>7</v>
      </c>
      <c r="D170" t="s">
        <v>120</v>
      </c>
      <c r="E170">
        <v>0</v>
      </c>
      <c r="F170" t="s">
        <v>2317</v>
      </c>
      <c r="G170" t="s">
        <v>229</v>
      </c>
      <c r="H170" t="s">
        <v>228</v>
      </c>
      <c r="M170">
        <v>122</v>
      </c>
      <c r="P170">
        <v>6990</v>
      </c>
      <c r="Q170">
        <v>4204</v>
      </c>
      <c r="R170" t="s">
        <v>2316</v>
      </c>
      <c r="S170" t="s">
        <v>2315</v>
      </c>
    </row>
    <row r="171" spans="1:19" x14ac:dyDescent="0.2">
      <c r="A171" t="s">
        <v>2314</v>
      </c>
      <c r="B171" t="s">
        <v>91</v>
      </c>
      <c r="C171">
        <v>13</v>
      </c>
      <c r="D171" t="s">
        <v>363</v>
      </c>
      <c r="E171">
        <v>0</v>
      </c>
      <c r="F171" t="s">
        <v>2303</v>
      </c>
      <c r="G171" t="s">
        <v>118</v>
      </c>
      <c r="H171" t="s">
        <v>117</v>
      </c>
      <c r="I171">
        <v>0.94625344986916005</v>
      </c>
      <c r="J171">
        <v>0.97302031178951798</v>
      </c>
      <c r="K171">
        <v>15</v>
      </c>
      <c r="L171">
        <v>6</v>
      </c>
      <c r="M171">
        <v>500</v>
      </c>
      <c r="N171" t="s">
        <v>2298</v>
      </c>
      <c r="O171" t="s">
        <v>2297</v>
      </c>
      <c r="P171">
        <v>6993</v>
      </c>
      <c r="Q171">
        <v>4205</v>
      </c>
      <c r="R171" t="s">
        <v>2313</v>
      </c>
      <c r="S171" t="s">
        <v>2312</v>
      </c>
    </row>
    <row r="172" spans="1:19" x14ac:dyDescent="0.2">
      <c r="A172" t="s">
        <v>2311</v>
      </c>
      <c r="B172" t="s">
        <v>2310</v>
      </c>
      <c r="C172">
        <v>14</v>
      </c>
      <c r="D172" t="s">
        <v>363</v>
      </c>
      <c r="E172">
        <v>0</v>
      </c>
      <c r="F172" t="s">
        <v>2309</v>
      </c>
      <c r="G172" t="s">
        <v>118</v>
      </c>
      <c r="H172" t="s">
        <v>117</v>
      </c>
      <c r="I172">
        <v>0.94574455855239803</v>
      </c>
      <c r="K172">
        <v>23</v>
      </c>
      <c r="M172">
        <v>500</v>
      </c>
      <c r="N172" t="s">
        <v>2298</v>
      </c>
      <c r="O172" t="s">
        <v>2297</v>
      </c>
      <c r="P172">
        <v>6995</v>
      </c>
      <c r="Q172" t="s">
        <v>2308</v>
      </c>
      <c r="R172" t="s">
        <v>2307</v>
      </c>
      <c r="S172" t="s">
        <v>2306</v>
      </c>
    </row>
    <row r="173" spans="1:19" x14ac:dyDescent="0.2">
      <c r="A173" t="s">
        <v>2305</v>
      </c>
      <c r="B173" t="s">
        <v>2304</v>
      </c>
      <c r="C173">
        <v>13</v>
      </c>
      <c r="D173" t="s">
        <v>363</v>
      </c>
      <c r="E173">
        <v>0</v>
      </c>
      <c r="F173" t="s">
        <v>2303</v>
      </c>
      <c r="G173" t="s">
        <v>118</v>
      </c>
      <c r="H173" t="s">
        <v>117</v>
      </c>
      <c r="I173">
        <v>0.95924275254196301</v>
      </c>
      <c r="J173">
        <v>0.87722618974660205</v>
      </c>
      <c r="K173">
        <v>6</v>
      </c>
      <c r="L173">
        <v>9</v>
      </c>
      <c r="M173">
        <v>500</v>
      </c>
      <c r="N173" t="s">
        <v>2298</v>
      </c>
      <c r="O173" t="s">
        <v>2297</v>
      </c>
      <c r="P173">
        <v>6996</v>
      </c>
      <c r="Q173">
        <v>4208</v>
      </c>
      <c r="R173" t="s">
        <v>2302</v>
      </c>
      <c r="S173" t="s">
        <v>2301</v>
      </c>
    </row>
    <row r="174" spans="1:19" x14ac:dyDescent="0.2">
      <c r="A174" t="s">
        <v>2300</v>
      </c>
      <c r="B174" t="s">
        <v>67</v>
      </c>
      <c r="C174">
        <v>12</v>
      </c>
      <c r="D174" t="s">
        <v>363</v>
      </c>
      <c r="E174">
        <v>0</v>
      </c>
      <c r="F174" t="s">
        <v>2299</v>
      </c>
      <c r="G174" t="s">
        <v>118</v>
      </c>
      <c r="H174" t="s">
        <v>117</v>
      </c>
      <c r="I174">
        <v>0.84285724708949505</v>
      </c>
      <c r="J174">
        <v>0.964717414292947</v>
      </c>
      <c r="K174">
        <v>2</v>
      </c>
      <c r="L174">
        <v>27</v>
      </c>
      <c r="M174">
        <v>500</v>
      </c>
      <c r="N174" t="s">
        <v>2298</v>
      </c>
      <c r="O174" t="s">
        <v>2297</v>
      </c>
      <c r="P174">
        <v>6997</v>
      </c>
      <c r="Q174">
        <v>4209</v>
      </c>
      <c r="R174" t="s">
        <v>2296</v>
      </c>
      <c r="S174" t="s">
        <v>2295</v>
      </c>
    </row>
    <row r="175" spans="1:19" x14ac:dyDescent="0.2">
      <c r="A175" t="s">
        <v>2294</v>
      </c>
      <c r="B175" t="s">
        <v>2291</v>
      </c>
      <c r="C175">
        <v>12</v>
      </c>
      <c r="D175" t="s">
        <v>363</v>
      </c>
      <c r="E175">
        <v>0</v>
      </c>
      <c r="F175" t="s">
        <v>2293</v>
      </c>
      <c r="G175" t="s">
        <v>118</v>
      </c>
      <c r="H175" t="s">
        <v>117</v>
      </c>
      <c r="I175">
        <v>0.816398505930371</v>
      </c>
      <c r="J175">
        <v>0.94542700550568304</v>
      </c>
      <c r="K175">
        <v>2</v>
      </c>
      <c r="L175">
        <v>37</v>
      </c>
      <c r="M175">
        <v>499</v>
      </c>
      <c r="N175" t="s">
        <v>796</v>
      </c>
      <c r="O175" t="s">
        <v>2279</v>
      </c>
      <c r="P175">
        <v>7000</v>
      </c>
      <c r="Q175">
        <v>4211</v>
      </c>
      <c r="R175" t="s">
        <v>2289</v>
      </c>
      <c r="S175" t="s">
        <v>2288</v>
      </c>
    </row>
    <row r="176" spans="1:19" x14ac:dyDescent="0.2">
      <c r="A176" t="s">
        <v>2287</v>
      </c>
      <c r="B176" t="s">
        <v>2286</v>
      </c>
      <c r="C176">
        <v>13</v>
      </c>
      <c r="D176" t="s">
        <v>388</v>
      </c>
      <c r="E176">
        <v>0</v>
      </c>
      <c r="F176" t="s">
        <v>2285</v>
      </c>
      <c r="G176" t="s">
        <v>229</v>
      </c>
      <c r="H176" t="s">
        <v>228</v>
      </c>
      <c r="M176">
        <v>413</v>
      </c>
      <c r="N176" t="s">
        <v>796</v>
      </c>
      <c r="O176" t="s">
        <v>2279</v>
      </c>
      <c r="P176">
        <v>7001</v>
      </c>
      <c r="Q176">
        <v>4212</v>
      </c>
      <c r="R176" t="s">
        <v>2284</v>
      </c>
      <c r="S176" t="s">
        <v>2283</v>
      </c>
    </row>
    <row r="177" spans="1:19" x14ac:dyDescent="0.2">
      <c r="A177" t="s">
        <v>2252</v>
      </c>
      <c r="B177" t="s">
        <v>2251</v>
      </c>
      <c r="C177">
        <v>10</v>
      </c>
      <c r="D177" t="s">
        <v>363</v>
      </c>
      <c r="E177">
        <v>0</v>
      </c>
      <c r="F177" t="s">
        <v>2250</v>
      </c>
      <c r="G177" t="s">
        <v>118</v>
      </c>
      <c r="H177" t="s">
        <v>117</v>
      </c>
      <c r="I177">
        <v>0.998803371961547</v>
      </c>
      <c r="J177">
        <v>0.82401112556570499</v>
      </c>
      <c r="K177">
        <v>28</v>
      </c>
      <c r="L177">
        <v>3</v>
      </c>
      <c r="M177">
        <v>516</v>
      </c>
      <c r="N177" t="s">
        <v>718</v>
      </c>
      <c r="O177" t="s">
        <v>807</v>
      </c>
      <c r="P177">
        <v>7105</v>
      </c>
      <c r="Q177">
        <v>4286</v>
      </c>
      <c r="R177" t="s">
        <v>2249</v>
      </c>
      <c r="S177" t="s">
        <v>2248</v>
      </c>
    </row>
    <row r="178" spans="1:19" x14ac:dyDescent="0.2">
      <c r="A178" t="s">
        <v>2215</v>
      </c>
      <c r="B178" t="s">
        <v>2214</v>
      </c>
      <c r="C178">
        <v>17</v>
      </c>
      <c r="D178" t="s">
        <v>120</v>
      </c>
      <c r="E178">
        <v>0</v>
      </c>
      <c r="F178" t="s">
        <v>2213</v>
      </c>
      <c r="G178" t="s">
        <v>229</v>
      </c>
      <c r="H178" t="s">
        <v>228</v>
      </c>
      <c r="M178">
        <v>33</v>
      </c>
      <c r="N178" t="s">
        <v>107</v>
      </c>
      <c r="O178" t="s">
        <v>322</v>
      </c>
      <c r="P178">
        <v>7428</v>
      </c>
      <c r="Q178">
        <v>4520</v>
      </c>
      <c r="R178" t="s">
        <v>2212</v>
      </c>
      <c r="S178" t="s">
        <v>2211</v>
      </c>
    </row>
    <row r="179" spans="1:19" x14ac:dyDescent="0.2">
      <c r="A179" t="s">
        <v>2210</v>
      </c>
      <c r="B179" t="s">
        <v>2207</v>
      </c>
      <c r="C179">
        <v>15</v>
      </c>
      <c r="D179" t="s">
        <v>363</v>
      </c>
      <c r="E179">
        <v>0</v>
      </c>
      <c r="F179" t="s">
        <v>2209</v>
      </c>
      <c r="G179" t="s">
        <v>109</v>
      </c>
      <c r="H179" t="s">
        <v>117</v>
      </c>
      <c r="I179">
        <v>0.878126387624105</v>
      </c>
      <c r="J179">
        <v>0.97281406153607297</v>
      </c>
      <c r="K179">
        <v>10</v>
      </c>
      <c r="L179">
        <v>5</v>
      </c>
      <c r="M179">
        <v>500</v>
      </c>
      <c r="N179" t="s">
        <v>718</v>
      </c>
      <c r="O179" t="s">
        <v>2205</v>
      </c>
      <c r="P179">
        <v>7534</v>
      </c>
      <c r="Q179">
        <v>4601</v>
      </c>
      <c r="R179" t="s">
        <v>2204</v>
      </c>
      <c r="S179" t="s">
        <v>2203</v>
      </c>
    </row>
    <row r="180" spans="1:19" x14ac:dyDescent="0.2">
      <c r="A180" t="s">
        <v>2192</v>
      </c>
      <c r="B180" t="s">
        <v>2191</v>
      </c>
      <c r="C180">
        <v>12</v>
      </c>
      <c r="D180" t="s">
        <v>363</v>
      </c>
      <c r="E180">
        <v>0</v>
      </c>
      <c r="F180" t="s">
        <v>2190</v>
      </c>
      <c r="G180" t="s">
        <v>118</v>
      </c>
      <c r="H180" t="s">
        <v>117</v>
      </c>
      <c r="I180">
        <v>0.82874849612932899</v>
      </c>
      <c r="J180">
        <v>0.91885510606691601</v>
      </c>
      <c r="K180">
        <v>27</v>
      </c>
      <c r="L180">
        <v>9</v>
      </c>
      <c r="M180">
        <v>500</v>
      </c>
      <c r="N180" t="s">
        <v>1226</v>
      </c>
      <c r="O180" t="s">
        <v>2189</v>
      </c>
      <c r="P180">
        <v>7545</v>
      </c>
      <c r="Q180">
        <v>4602</v>
      </c>
      <c r="R180" t="s">
        <v>2188</v>
      </c>
      <c r="S180" t="s">
        <v>2187</v>
      </c>
    </row>
    <row r="181" spans="1:19" x14ac:dyDescent="0.2">
      <c r="A181" t="s">
        <v>2186</v>
      </c>
      <c r="B181" t="s">
        <v>2185</v>
      </c>
      <c r="C181">
        <v>12</v>
      </c>
      <c r="D181" t="s">
        <v>363</v>
      </c>
      <c r="E181">
        <v>0</v>
      </c>
      <c r="F181" t="s">
        <v>2184</v>
      </c>
      <c r="G181" t="s">
        <v>118</v>
      </c>
      <c r="H181" t="s">
        <v>117</v>
      </c>
      <c r="I181">
        <v>0.91855816626186004</v>
      </c>
      <c r="J181">
        <v>0.89943279545126098</v>
      </c>
      <c r="K181">
        <v>32</v>
      </c>
      <c r="L181">
        <v>10</v>
      </c>
      <c r="M181">
        <v>501</v>
      </c>
      <c r="N181" t="s">
        <v>718</v>
      </c>
      <c r="O181" t="s">
        <v>2178</v>
      </c>
      <c r="P181">
        <v>7559</v>
      </c>
      <c r="Q181">
        <v>4613</v>
      </c>
      <c r="R181" t="s">
        <v>2183</v>
      </c>
      <c r="S181" t="s">
        <v>2182</v>
      </c>
    </row>
    <row r="182" spans="1:19" x14ac:dyDescent="0.2">
      <c r="A182" t="s">
        <v>2181</v>
      </c>
      <c r="B182" t="s">
        <v>2180</v>
      </c>
      <c r="C182">
        <v>11</v>
      </c>
      <c r="D182" t="s">
        <v>363</v>
      </c>
      <c r="E182">
        <v>0</v>
      </c>
      <c r="F182" t="s">
        <v>2179</v>
      </c>
      <c r="G182" t="s">
        <v>118</v>
      </c>
      <c r="H182" t="s">
        <v>117</v>
      </c>
      <c r="I182">
        <v>0.94684134788073004</v>
      </c>
      <c r="J182">
        <v>0.94783616474072696</v>
      </c>
      <c r="K182">
        <v>265</v>
      </c>
      <c r="L182">
        <v>126</v>
      </c>
      <c r="M182">
        <v>501</v>
      </c>
      <c r="N182" t="s">
        <v>718</v>
      </c>
      <c r="O182" t="s">
        <v>2178</v>
      </c>
      <c r="P182">
        <v>7553</v>
      </c>
      <c r="Q182">
        <v>4609</v>
      </c>
      <c r="R182" t="s">
        <v>2177</v>
      </c>
      <c r="S182" t="s">
        <v>2176</v>
      </c>
    </row>
    <row r="183" spans="1:19" x14ac:dyDescent="0.2">
      <c r="A183" t="s">
        <v>2175</v>
      </c>
      <c r="B183" t="s">
        <v>2174</v>
      </c>
      <c r="C183">
        <v>7</v>
      </c>
      <c r="D183" t="s">
        <v>120</v>
      </c>
      <c r="E183">
        <v>0</v>
      </c>
      <c r="F183" t="s">
        <v>2173</v>
      </c>
      <c r="G183" t="s">
        <v>229</v>
      </c>
      <c r="H183" t="s">
        <v>228</v>
      </c>
      <c r="M183">
        <v>9</v>
      </c>
      <c r="N183" t="s">
        <v>2155</v>
      </c>
      <c r="O183" t="s">
        <v>2154</v>
      </c>
      <c r="P183">
        <v>7566</v>
      </c>
      <c r="Q183">
        <v>4618</v>
      </c>
      <c r="R183" t="s">
        <v>2172</v>
      </c>
      <c r="S183" t="s">
        <v>2171</v>
      </c>
    </row>
    <row r="184" spans="1:19" x14ac:dyDescent="0.2">
      <c r="A184" t="s">
        <v>2165</v>
      </c>
      <c r="B184" t="s">
        <v>2162</v>
      </c>
      <c r="C184">
        <v>15</v>
      </c>
      <c r="D184" t="s">
        <v>363</v>
      </c>
      <c r="E184">
        <v>0</v>
      </c>
      <c r="F184" t="s">
        <v>2164</v>
      </c>
      <c r="G184" t="s">
        <v>118</v>
      </c>
      <c r="H184" t="s">
        <v>117</v>
      </c>
      <c r="I184">
        <v>0.99024762390400001</v>
      </c>
      <c r="J184">
        <v>0.99151775154532995</v>
      </c>
      <c r="K184">
        <v>9</v>
      </c>
      <c r="L184">
        <v>63</v>
      </c>
      <c r="M184">
        <v>500</v>
      </c>
      <c r="N184" t="s">
        <v>2155</v>
      </c>
      <c r="O184" t="s">
        <v>2154</v>
      </c>
      <c r="P184">
        <v>7611</v>
      </c>
      <c r="Q184">
        <v>4654</v>
      </c>
      <c r="R184" t="s">
        <v>2160</v>
      </c>
      <c r="S184" t="s">
        <v>2159</v>
      </c>
    </row>
    <row r="185" spans="1:19" x14ac:dyDescent="0.2">
      <c r="A185" t="s">
        <v>2158</v>
      </c>
      <c r="B185" t="s">
        <v>2157</v>
      </c>
      <c r="C185">
        <v>13</v>
      </c>
      <c r="D185" t="s">
        <v>388</v>
      </c>
      <c r="E185">
        <v>0</v>
      </c>
      <c r="F185" t="s">
        <v>2156</v>
      </c>
      <c r="G185" t="s">
        <v>118</v>
      </c>
      <c r="H185" t="s">
        <v>117</v>
      </c>
      <c r="J185">
        <v>0.99424914109142704</v>
      </c>
      <c r="L185">
        <v>20</v>
      </c>
      <c r="M185">
        <v>500</v>
      </c>
      <c r="N185" t="s">
        <v>2155</v>
      </c>
      <c r="O185" t="s">
        <v>2154</v>
      </c>
      <c r="P185">
        <v>7612</v>
      </c>
      <c r="Q185">
        <v>4656</v>
      </c>
      <c r="R185" t="s">
        <v>2153</v>
      </c>
      <c r="S185" t="s">
        <v>2152</v>
      </c>
    </row>
    <row r="186" spans="1:19" x14ac:dyDescent="0.2">
      <c r="A186" t="s">
        <v>2151</v>
      </c>
      <c r="B186" t="s">
        <v>2150</v>
      </c>
      <c r="C186">
        <v>13</v>
      </c>
      <c r="D186" t="s">
        <v>388</v>
      </c>
      <c r="E186">
        <v>0</v>
      </c>
      <c r="F186" t="s">
        <v>2149</v>
      </c>
      <c r="G186" t="s">
        <v>118</v>
      </c>
      <c r="H186" t="s">
        <v>117</v>
      </c>
      <c r="I186">
        <v>0.850851810992167</v>
      </c>
      <c r="K186">
        <v>6</v>
      </c>
      <c r="M186">
        <v>503</v>
      </c>
      <c r="N186" t="s">
        <v>107</v>
      </c>
      <c r="O186" t="s">
        <v>125</v>
      </c>
      <c r="P186">
        <v>13108</v>
      </c>
      <c r="Q186">
        <v>7593</v>
      </c>
      <c r="R186" t="s">
        <v>2148</v>
      </c>
      <c r="S186" t="s">
        <v>2147</v>
      </c>
    </row>
    <row r="187" spans="1:19" x14ac:dyDescent="0.2">
      <c r="A187" t="s">
        <v>2146</v>
      </c>
      <c r="B187" t="s">
        <v>2143</v>
      </c>
      <c r="C187">
        <v>17</v>
      </c>
      <c r="D187" t="s">
        <v>363</v>
      </c>
      <c r="E187">
        <v>0</v>
      </c>
      <c r="F187" t="s">
        <v>2145</v>
      </c>
      <c r="G187" t="s">
        <v>118</v>
      </c>
      <c r="H187" t="s">
        <v>117</v>
      </c>
      <c r="I187">
        <v>0.92013891918491497</v>
      </c>
      <c r="J187">
        <v>0.92827615091566595</v>
      </c>
      <c r="K187">
        <v>15</v>
      </c>
      <c r="L187">
        <v>38</v>
      </c>
      <c r="M187">
        <v>499</v>
      </c>
      <c r="N187" t="s">
        <v>691</v>
      </c>
      <c r="O187" t="s">
        <v>2141</v>
      </c>
      <c r="P187">
        <v>20857</v>
      </c>
      <c r="Q187">
        <v>79923</v>
      </c>
      <c r="R187" t="s">
        <v>2140</v>
      </c>
      <c r="S187" t="s">
        <v>2139</v>
      </c>
    </row>
    <row r="188" spans="1:19" x14ac:dyDescent="0.2">
      <c r="A188" t="s">
        <v>2138</v>
      </c>
      <c r="B188" t="s">
        <v>2137</v>
      </c>
      <c r="C188">
        <v>10</v>
      </c>
      <c r="D188" t="s">
        <v>363</v>
      </c>
      <c r="E188">
        <v>0</v>
      </c>
      <c r="F188" t="s">
        <v>2136</v>
      </c>
      <c r="G188" t="s">
        <v>118</v>
      </c>
      <c r="H188" t="s">
        <v>117</v>
      </c>
      <c r="I188">
        <v>0.94574810140305099</v>
      </c>
      <c r="J188">
        <v>0.95213758141003801</v>
      </c>
      <c r="K188">
        <v>5</v>
      </c>
      <c r="L188">
        <v>2</v>
      </c>
      <c r="M188">
        <v>503</v>
      </c>
      <c r="N188" t="s">
        <v>753</v>
      </c>
      <c r="O188" t="s">
        <v>1815</v>
      </c>
      <c r="P188">
        <v>7762</v>
      </c>
      <c r="Q188">
        <v>4760</v>
      </c>
      <c r="R188" t="s">
        <v>2135</v>
      </c>
      <c r="S188" t="s">
        <v>2134</v>
      </c>
    </row>
    <row r="189" spans="1:19" x14ac:dyDescent="0.2">
      <c r="A189" t="s">
        <v>2133</v>
      </c>
      <c r="B189" t="s">
        <v>2132</v>
      </c>
      <c r="C189">
        <v>9</v>
      </c>
      <c r="D189" t="s">
        <v>388</v>
      </c>
      <c r="E189">
        <v>0</v>
      </c>
      <c r="F189" t="s">
        <v>2131</v>
      </c>
      <c r="G189" t="s">
        <v>118</v>
      </c>
      <c r="H189" t="s">
        <v>117</v>
      </c>
      <c r="I189">
        <v>0.59449011119551598</v>
      </c>
      <c r="J189">
        <v>0.96287236500894902</v>
      </c>
      <c r="K189">
        <v>2</v>
      </c>
      <c r="L189">
        <v>21</v>
      </c>
      <c r="M189">
        <v>502</v>
      </c>
      <c r="N189" t="s">
        <v>753</v>
      </c>
      <c r="O189" t="s">
        <v>1815</v>
      </c>
      <c r="P189">
        <v>7763</v>
      </c>
      <c r="Q189">
        <v>4761</v>
      </c>
      <c r="R189" t="s">
        <v>2130</v>
      </c>
      <c r="S189" t="s">
        <v>2129</v>
      </c>
    </row>
    <row r="190" spans="1:19" x14ac:dyDescent="0.2">
      <c r="A190" t="s">
        <v>2128</v>
      </c>
      <c r="B190" t="s">
        <v>2127</v>
      </c>
      <c r="C190">
        <v>7</v>
      </c>
      <c r="D190" t="s">
        <v>120</v>
      </c>
      <c r="E190">
        <v>0</v>
      </c>
      <c r="F190" t="s">
        <v>2126</v>
      </c>
      <c r="G190" t="s">
        <v>229</v>
      </c>
      <c r="H190" t="s">
        <v>228</v>
      </c>
      <c r="M190">
        <v>115</v>
      </c>
      <c r="N190" t="s">
        <v>2082</v>
      </c>
      <c r="O190" t="s">
        <v>2081</v>
      </c>
      <c r="P190">
        <v>7781</v>
      </c>
      <c r="Q190">
        <v>4779</v>
      </c>
      <c r="R190" t="s">
        <v>2125</v>
      </c>
      <c r="S190" t="s">
        <v>2124</v>
      </c>
    </row>
    <row r="191" spans="1:19" x14ac:dyDescent="0.2">
      <c r="A191" t="s">
        <v>2123</v>
      </c>
      <c r="B191" t="s">
        <v>2122</v>
      </c>
      <c r="C191">
        <v>14</v>
      </c>
      <c r="D191" t="s">
        <v>363</v>
      </c>
      <c r="E191">
        <v>0</v>
      </c>
      <c r="F191" t="s">
        <v>2121</v>
      </c>
      <c r="G191" t="s">
        <v>118</v>
      </c>
      <c r="H191" t="s">
        <v>117</v>
      </c>
      <c r="I191">
        <v>0.88957287176087296</v>
      </c>
      <c r="J191">
        <v>0.98292244324266298</v>
      </c>
      <c r="K191">
        <v>5</v>
      </c>
      <c r="L191">
        <v>26</v>
      </c>
      <c r="M191">
        <v>500</v>
      </c>
      <c r="N191" t="s">
        <v>2082</v>
      </c>
      <c r="O191" t="s">
        <v>2081</v>
      </c>
      <c r="P191">
        <v>7782</v>
      </c>
      <c r="Q191">
        <v>4780</v>
      </c>
      <c r="R191" t="s">
        <v>2120</v>
      </c>
      <c r="S191" t="s">
        <v>2119</v>
      </c>
    </row>
    <row r="192" spans="1:19" x14ac:dyDescent="0.2">
      <c r="A192" t="s">
        <v>2118</v>
      </c>
      <c r="B192" t="s">
        <v>2115</v>
      </c>
      <c r="C192">
        <v>15</v>
      </c>
      <c r="D192" t="s">
        <v>388</v>
      </c>
      <c r="E192">
        <v>0</v>
      </c>
      <c r="F192" t="s">
        <v>2117</v>
      </c>
      <c r="G192" t="s">
        <v>118</v>
      </c>
      <c r="H192" t="s">
        <v>117</v>
      </c>
      <c r="I192">
        <v>0.867998984431534</v>
      </c>
      <c r="J192">
        <v>0.79460957721484504</v>
      </c>
      <c r="K192">
        <v>7</v>
      </c>
      <c r="L192">
        <v>8</v>
      </c>
      <c r="M192">
        <v>500</v>
      </c>
      <c r="N192" t="s">
        <v>2089</v>
      </c>
      <c r="O192" t="s">
        <v>2113</v>
      </c>
      <c r="P192">
        <v>7775</v>
      </c>
      <c r="Q192">
        <v>4772</v>
      </c>
      <c r="R192" t="s">
        <v>2112</v>
      </c>
      <c r="S192" t="s">
        <v>2111</v>
      </c>
    </row>
    <row r="193" spans="1:19" x14ac:dyDescent="0.2">
      <c r="A193" t="s">
        <v>2110</v>
      </c>
      <c r="B193" t="s">
        <v>2109</v>
      </c>
      <c r="C193">
        <v>9</v>
      </c>
      <c r="D193" t="s">
        <v>388</v>
      </c>
      <c r="E193">
        <v>0</v>
      </c>
      <c r="F193" t="s">
        <v>2108</v>
      </c>
      <c r="G193" t="s">
        <v>229</v>
      </c>
      <c r="H193" t="s">
        <v>228</v>
      </c>
      <c r="M193">
        <v>87</v>
      </c>
      <c r="N193" t="s">
        <v>2089</v>
      </c>
      <c r="O193" t="s">
        <v>2107</v>
      </c>
      <c r="P193">
        <v>7776</v>
      </c>
      <c r="Q193">
        <v>4773</v>
      </c>
      <c r="R193" t="s">
        <v>2106</v>
      </c>
      <c r="S193" t="s">
        <v>2105</v>
      </c>
    </row>
    <row r="194" spans="1:19" x14ac:dyDescent="0.2">
      <c r="A194" t="s">
        <v>2104</v>
      </c>
      <c r="B194" t="s">
        <v>2103</v>
      </c>
      <c r="C194">
        <v>9</v>
      </c>
      <c r="D194" t="s">
        <v>388</v>
      </c>
      <c r="E194">
        <v>0</v>
      </c>
      <c r="F194" t="s">
        <v>2102</v>
      </c>
      <c r="G194" t="s">
        <v>229</v>
      </c>
      <c r="H194" t="s">
        <v>228</v>
      </c>
      <c r="M194">
        <v>18</v>
      </c>
      <c r="N194" t="s">
        <v>2089</v>
      </c>
      <c r="O194" t="s">
        <v>2101</v>
      </c>
      <c r="P194">
        <v>7777</v>
      </c>
      <c r="Q194">
        <v>4775</v>
      </c>
      <c r="R194" t="s">
        <v>2100</v>
      </c>
      <c r="S194" t="s">
        <v>2099</v>
      </c>
    </row>
    <row r="195" spans="1:19" x14ac:dyDescent="0.2">
      <c r="A195" t="s">
        <v>2098</v>
      </c>
      <c r="B195" t="s">
        <v>2097</v>
      </c>
      <c r="C195">
        <v>10</v>
      </c>
      <c r="D195" t="s">
        <v>120</v>
      </c>
      <c r="E195">
        <v>0</v>
      </c>
      <c r="F195" t="s">
        <v>2096</v>
      </c>
      <c r="G195" t="s">
        <v>229</v>
      </c>
      <c r="H195" t="s">
        <v>228</v>
      </c>
      <c r="M195">
        <v>19</v>
      </c>
      <c r="N195" t="s">
        <v>2089</v>
      </c>
      <c r="O195" t="s">
        <v>2095</v>
      </c>
      <c r="P195">
        <v>7778</v>
      </c>
      <c r="Q195">
        <v>4776</v>
      </c>
      <c r="R195" t="s">
        <v>2094</v>
      </c>
      <c r="S195" t="s">
        <v>2093</v>
      </c>
    </row>
    <row r="196" spans="1:19" x14ac:dyDescent="0.2">
      <c r="A196" t="s">
        <v>2085</v>
      </c>
      <c r="B196" t="s">
        <v>2084</v>
      </c>
      <c r="C196">
        <v>13</v>
      </c>
      <c r="D196" t="s">
        <v>363</v>
      </c>
      <c r="E196">
        <v>0</v>
      </c>
      <c r="F196" t="s">
        <v>2083</v>
      </c>
      <c r="G196" t="s">
        <v>118</v>
      </c>
      <c r="H196" t="s">
        <v>117</v>
      </c>
      <c r="I196">
        <v>0.93702148885939995</v>
      </c>
      <c r="J196">
        <v>0.99061285945625599</v>
      </c>
      <c r="K196">
        <v>17</v>
      </c>
      <c r="L196">
        <v>9</v>
      </c>
      <c r="M196">
        <v>500</v>
      </c>
      <c r="N196" t="s">
        <v>2082</v>
      </c>
      <c r="O196" t="s">
        <v>2081</v>
      </c>
      <c r="P196">
        <v>7780</v>
      </c>
      <c r="Q196">
        <v>4778</v>
      </c>
      <c r="R196" t="s">
        <v>2080</v>
      </c>
      <c r="S196" t="s">
        <v>2079</v>
      </c>
    </row>
    <row r="197" spans="1:19" x14ac:dyDescent="0.2">
      <c r="A197" t="s">
        <v>2078</v>
      </c>
      <c r="B197" t="s">
        <v>2075</v>
      </c>
      <c r="C197">
        <v>15</v>
      </c>
      <c r="D197" t="s">
        <v>120</v>
      </c>
      <c r="E197">
        <v>0</v>
      </c>
      <c r="F197" t="s">
        <v>2077</v>
      </c>
      <c r="G197" t="s">
        <v>229</v>
      </c>
      <c r="H197" t="s">
        <v>228</v>
      </c>
      <c r="M197">
        <v>233</v>
      </c>
      <c r="N197" t="s">
        <v>2059</v>
      </c>
      <c r="O197" t="s">
        <v>2073</v>
      </c>
      <c r="P197">
        <v>7784</v>
      </c>
      <c r="Q197">
        <v>4774</v>
      </c>
      <c r="R197" t="s">
        <v>2072</v>
      </c>
      <c r="S197" t="s">
        <v>2071</v>
      </c>
    </row>
    <row r="198" spans="1:19" x14ac:dyDescent="0.2">
      <c r="A198" t="s">
        <v>2064</v>
      </c>
      <c r="B198" t="s">
        <v>2061</v>
      </c>
      <c r="C198">
        <v>17</v>
      </c>
      <c r="D198" t="s">
        <v>363</v>
      </c>
      <c r="E198">
        <v>0</v>
      </c>
      <c r="F198" t="s">
        <v>2063</v>
      </c>
      <c r="G198" t="s">
        <v>118</v>
      </c>
      <c r="H198" t="s">
        <v>117</v>
      </c>
      <c r="I198">
        <v>0.94511463188747802</v>
      </c>
      <c r="J198">
        <v>0.47224734611324798</v>
      </c>
      <c r="K198">
        <v>18</v>
      </c>
      <c r="L198">
        <v>1</v>
      </c>
      <c r="M198">
        <v>500</v>
      </c>
      <c r="N198" t="s">
        <v>2059</v>
      </c>
      <c r="O198" t="s">
        <v>2058</v>
      </c>
      <c r="P198">
        <v>7786</v>
      </c>
      <c r="Q198">
        <v>4782</v>
      </c>
      <c r="R198" t="s">
        <v>2057</v>
      </c>
      <c r="S198" t="s">
        <v>2056</v>
      </c>
    </row>
    <row r="199" spans="1:19" x14ac:dyDescent="0.2">
      <c r="A199" t="s">
        <v>2050</v>
      </c>
      <c r="B199" t="s">
        <v>2049</v>
      </c>
      <c r="C199">
        <v>11</v>
      </c>
      <c r="D199" t="s">
        <v>388</v>
      </c>
      <c r="E199">
        <v>1</v>
      </c>
      <c r="F199" t="s">
        <v>2048</v>
      </c>
      <c r="G199" t="s">
        <v>118</v>
      </c>
      <c r="H199" t="s">
        <v>117</v>
      </c>
      <c r="I199">
        <v>0.72636228409042003</v>
      </c>
      <c r="J199">
        <v>0.952595004048297</v>
      </c>
      <c r="K199">
        <v>7</v>
      </c>
      <c r="L199">
        <v>16</v>
      </c>
      <c r="M199">
        <v>503</v>
      </c>
      <c r="N199" t="s">
        <v>858</v>
      </c>
      <c r="O199" t="s">
        <v>2042</v>
      </c>
      <c r="P199">
        <v>7794</v>
      </c>
      <c r="Q199">
        <v>4790</v>
      </c>
      <c r="R199" t="s">
        <v>2047</v>
      </c>
      <c r="S199" t="s">
        <v>2046</v>
      </c>
    </row>
    <row r="200" spans="1:19" x14ac:dyDescent="0.2">
      <c r="A200" t="s">
        <v>2045</v>
      </c>
      <c r="B200" t="s">
        <v>2044</v>
      </c>
      <c r="C200">
        <v>11</v>
      </c>
      <c r="D200" t="s">
        <v>388</v>
      </c>
      <c r="E200">
        <v>0</v>
      </c>
      <c r="F200" t="s">
        <v>2043</v>
      </c>
      <c r="G200" t="s">
        <v>118</v>
      </c>
      <c r="H200" t="s">
        <v>117</v>
      </c>
      <c r="I200">
        <v>0.97652401428908397</v>
      </c>
      <c r="K200">
        <v>4</v>
      </c>
      <c r="M200">
        <v>500</v>
      </c>
      <c r="N200" t="s">
        <v>858</v>
      </c>
      <c r="O200" t="s">
        <v>2042</v>
      </c>
      <c r="P200">
        <v>7795</v>
      </c>
      <c r="Q200">
        <v>4791</v>
      </c>
      <c r="R200" t="s">
        <v>2041</v>
      </c>
      <c r="S200" t="s">
        <v>2040</v>
      </c>
    </row>
    <row r="201" spans="1:19" x14ac:dyDescent="0.2">
      <c r="A201" t="s">
        <v>2039</v>
      </c>
      <c r="B201" t="s">
        <v>10</v>
      </c>
      <c r="C201">
        <v>14</v>
      </c>
      <c r="D201" t="s">
        <v>363</v>
      </c>
      <c r="E201">
        <v>0</v>
      </c>
      <c r="F201" t="s">
        <v>2038</v>
      </c>
      <c r="G201" t="s">
        <v>118</v>
      </c>
      <c r="H201" t="s">
        <v>117</v>
      </c>
      <c r="I201">
        <v>0.98205964919831001</v>
      </c>
      <c r="J201">
        <v>0.96005175301077905</v>
      </c>
      <c r="K201">
        <v>19</v>
      </c>
      <c r="L201">
        <v>14</v>
      </c>
      <c r="M201">
        <v>500</v>
      </c>
      <c r="N201" t="s">
        <v>2025</v>
      </c>
      <c r="O201" t="s">
        <v>2037</v>
      </c>
      <c r="P201">
        <v>7804</v>
      </c>
      <c r="Q201">
        <v>4800</v>
      </c>
      <c r="R201" t="s">
        <v>2036</v>
      </c>
      <c r="S201" t="s">
        <v>2035</v>
      </c>
    </row>
    <row r="202" spans="1:19" x14ac:dyDescent="0.2">
      <c r="A202" t="s">
        <v>2034</v>
      </c>
      <c r="B202" t="s">
        <v>2033</v>
      </c>
      <c r="C202">
        <v>13</v>
      </c>
      <c r="D202" t="s">
        <v>363</v>
      </c>
      <c r="E202">
        <v>0</v>
      </c>
      <c r="F202" t="s">
        <v>2032</v>
      </c>
      <c r="G202" t="s">
        <v>229</v>
      </c>
      <c r="H202" t="s">
        <v>228</v>
      </c>
      <c r="I202">
        <v>0.98701734832926702</v>
      </c>
      <c r="J202">
        <v>0.99684841480996</v>
      </c>
      <c r="K202">
        <v>4</v>
      </c>
      <c r="L202">
        <v>4</v>
      </c>
      <c r="M202">
        <v>1163</v>
      </c>
      <c r="N202" t="s">
        <v>2025</v>
      </c>
      <c r="O202" t="s">
        <v>2031</v>
      </c>
      <c r="P202">
        <v>7805</v>
      </c>
      <c r="Q202">
        <v>4801</v>
      </c>
      <c r="R202" t="s">
        <v>2030</v>
      </c>
      <c r="S202" t="s">
        <v>2029</v>
      </c>
    </row>
    <row r="203" spans="1:19" x14ac:dyDescent="0.2">
      <c r="A203" t="s">
        <v>2028</v>
      </c>
      <c r="B203" t="s">
        <v>2027</v>
      </c>
      <c r="C203">
        <v>14</v>
      </c>
      <c r="D203" t="s">
        <v>363</v>
      </c>
      <c r="E203">
        <v>0</v>
      </c>
      <c r="F203" t="s">
        <v>2026</v>
      </c>
      <c r="G203" t="s">
        <v>118</v>
      </c>
      <c r="H203" t="s">
        <v>117</v>
      </c>
      <c r="I203">
        <v>0.86567663371268</v>
      </c>
      <c r="J203">
        <v>0.98413322588295504</v>
      </c>
      <c r="K203">
        <v>4</v>
      </c>
      <c r="L203">
        <v>4</v>
      </c>
      <c r="M203">
        <v>427</v>
      </c>
      <c r="N203" t="s">
        <v>2025</v>
      </c>
      <c r="O203" t="s">
        <v>2024</v>
      </c>
      <c r="P203">
        <v>7806</v>
      </c>
      <c r="Q203">
        <v>4802</v>
      </c>
      <c r="R203" t="s">
        <v>2023</v>
      </c>
      <c r="S203" t="s">
        <v>2022</v>
      </c>
    </row>
    <row r="204" spans="1:19" x14ac:dyDescent="0.2">
      <c r="A204" t="s">
        <v>2016</v>
      </c>
      <c r="B204" t="s">
        <v>2015</v>
      </c>
      <c r="C204">
        <v>10</v>
      </c>
      <c r="D204" t="s">
        <v>363</v>
      </c>
      <c r="E204">
        <v>0</v>
      </c>
      <c r="F204" t="s">
        <v>2014</v>
      </c>
      <c r="G204" t="s">
        <v>118</v>
      </c>
      <c r="H204" t="s">
        <v>117</v>
      </c>
      <c r="I204">
        <v>0.92031118179468896</v>
      </c>
      <c r="J204">
        <v>0.91689661703700898</v>
      </c>
      <c r="K204">
        <v>14</v>
      </c>
      <c r="L204">
        <v>9</v>
      </c>
      <c r="M204">
        <v>501</v>
      </c>
      <c r="N204" t="s">
        <v>691</v>
      </c>
      <c r="O204" t="s">
        <v>2013</v>
      </c>
      <c r="P204">
        <v>11825</v>
      </c>
      <c r="Q204">
        <v>7080</v>
      </c>
      <c r="R204" t="s">
        <v>2012</v>
      </c>
      <c r="S204" t="s">
        <v>2011</v>
      </c>
    </row>
    <row r="205" spans="1:19" x14ac:dyDescent="0.2">
      <c r="A205" t="s">
        <v>2000</v>
      </c>
      <c r="B205" t="s">
        <v>1999</v>
      </c>
      <c r="C205">
        <v>8</v>
      </c>
      <c r="D205" t="s">
        <v>388</v>
      </c>
      <c r="E205">
        <v>0</v>
      </c>
      <c r="F205" t="s">
        <v>1998</v>
      </c>
      <c r="G205" t="s">
        <v>118</v>
      </c>
      <c r="H205" t="s">
        <v>117</v>
      </c>
      <c r="I205">
        <v>0.697453175191317</v>
      </c>
      <c r="J205">
        <v>0.85959018356279304</v>
      </c>
      <c r="K205">
        <v>2</v>
      </c>
      <c r="L205">
        <v>7</v>
      </c>
      <c r="M205">
        <v>499</v>
      </c>
      <c r="N205" t="s">
        <v>691</v>
      </c>
      <c r="O205" t="s">
        <v>1997</v>
      </c>
      <c r="P205">
        <v>2488</v>
      </c>
      <c r="Q205">
        <v>1482</v>
      </c>
      <c r="R205" t="s">
        <v>1996</v>
      </c>
      <c r="S205" t="s">
        <v>1995</v>
      </c>
    </row>
    <row r="206" spans="1:19" x14ac:dyDescent="0.2">
      <c r="A206" t="s">
        <v>1994</v>
      </c>
      <c r="B206" t="s">
        <v>1993</v>
      </c>
      <c r="C206">
        <v>9</v>
      </c>
      <c r="D206" t="s">
        <v>120</v>
      </c>
      <c r="E206">
        <v>0</v>
      </c>
      <c r="F206" t="s">
        <v>1992</v>
      </c>
      <c r="G206" t="s">
        <v>229</v>
      </c>
      <c r="H206" t="s">
        <v>228</v>
      </c>
      <c r="M206">
        <v>6</v>
      </c>
      <c r="N206" t="s">
        <v>691</v>
      </c>
      <c r="O206" t="s">
        <v>1991</v>
      </c>
      <c r="P206">
        <v>16364</v>
      </c>
      <c r="Q206">
        <v>26257</v>
      </c>
      <c r="R206" t="s">
        <v>1990</v>
      </c>
      <c r="S206" t="s">
        <v>1989</v>
      </c>
    </row>
    <row r="207" spans="1:19" x14ac:dyDescent="0.2">
      <c r="A207" t="s">
        <v>1988</v>
      </c>
      <c r="B207" t="s">
        <v>1987</v>
      </c>
      <c r="C207">
        <v>12</v>
      </c>
      <c r="D207" t="s">
        <v>120</v>
      </c>
      <c r="E207">
        <v>0</v>
      </c>
      <c r="F207" t="s">
        <v>1986</v>
      </c>
      <c r="G207" t="s">
        <v>118</v>
      </c>
      <c r="H207" t="s">
        <v>117</v>
      </c>
      <c r="I207">
        <v>0.79154978237778995</v>
      </c>
      <c r="J207">
        <v>0.66187953952124101</v>
      </c>
      <c r="K207">
        <v>11</v>
      </c>
      <c r="L207">
        <v>10</v>
      </c>
      <c r="M207">
        <v>501</v>
      </c>
      <c r="N207" t="s">
        <v>691</v>
      </c>
      <c r="O207" t="s">
        <v>1980</v>
      </c>
      <c r="P207">
        <v>7838</v>
      </c>
      <c r="Q207">
        <v>4824</v>
      </c>
      <c r="R207" t="s">
        <v>1985</v>
      </c>
      <c r="S207" t="s">
        <v>1984</v>
      </c>
    </row>
    <row r="208" spans="1:19" x14ac:dyDescent="0.2">
      <c r="A208" t="s">
        <v>1983</v>
      </c>
      <c r="B208" t="s">
        <v>1982</v>
      </c>
      <c r="C208">
        <v>10</v>
      </c>
      <c r="D208" t="s">
        <v>120</v>
      </c>
      <c r="E208">
        <v>0</v>
      </c>
      <c r="F208" t="s">
        <v>1981</v>
      </c>
      <c r="G208" t="s">
        <v>118</v>
      </c>
      <c r="H208" t="s">
        <v>117</v>
      </c>
      <c r="J208">
        <v>0.98247839699237804</v>
      </c>
      <c r="L208">
        <v>6</v>
      </c>
      <c r="M208">
        <v>501</v>
      </c>
      <c r="N208" t="s">
        <v>691</v>
      </c>
      <c r="O208" t="s">
        <v>1980</v>
      </c>
      <c r="P208">
        <v>951</v>
      </c>
      <c r="Q208">
        <v>579</v>
      </c>
      <c r="R208" t="s">
        <v>1979</v>
      </c>
      <c r="S208" t="s">
        <v>1978</v>
      </c>
    </row>
    <row r="209" spans="1:19" x14ac:dyDescent="0.2">
      <c r="A209" t="s">
        <v>1977</v>
      </c>
      <c r="B209" t="s">
        <v>1974</v>
      </c>
      <c r="C209">
        <v>19</v>
      </c>
      <c r="D209" t="s">
        <v>388</v>
      </c>
      <c r="E209">
        <v>0</v>
      </c>
      <c r="F209" t="s">
        <v>1976</v>
      </c>
      <c r="G209" t="s">
        <v>118</v>
      </c>
      <c r="H209" t="s">
        <v>117</v>
      </c>
      <c r="I209">
        <v>0.43273597774886502</v>
      </c>
      <c r="J209">
        <v>0.96078831353776795</v>
      </c>
      <c r="K209">
        <v>3</v>
      </c>
      <c r="L209">
        <v>8</v>
      </c>
      <c r="M209">
        <v>500</v>
      </c>
      <c r="N209" t="s">
        <v>691</v>
      </c>
      <c r="O209" t="s">
        <v>1967</v>
      </c>
      <c r="P209">
        <v>7839</v>
      </c>
      <c r="Q209">
        <v>4825</v>
      </c>
      <c r="R209" t="s">
        <v>1972</v>
      </c>
      <c r="S209" t="s">
        <v>1971</v>
      </c>
    </row>
    <row r="210" spans="1:19" x14ac:dyDescent="0.2">
      <c r="A210" t="s">
        <v>1964</v>
      </c>
      <c r="B210" t="s">
        <v>1963</v>
      </c>
      <c r="C210">
        <v>9</v>
      </c>
      <c r="D210" t="s">
        <v>120</v>
      </c>
      <c r="E210">
        <v>0</v>
      </c>
      <c r="F210" t="s">
        <v>1962</v>
      </c>
      <c r="G210" t="s">
        <v>229</v>
      </c>
      <c r="H210" t="s">
        <v>228</v>
      </c>
      <c r="M210">
        <v>66</v>
      </c>
      <c r="N210" t="s">
        <v>671</v>
      </c>
      <c r="O210" t="s">
        <v>1961</v>
      </c>
      <c r="P210">
        <v>22448</v>
      </c>
      <c r="Q210">
        <v>135935</v>
      </c>
      <c r="R210" t="s">
        <v>1960</v>
      </c>
      <c r="S210" t="s">
        <v>1959</v>
      </c>
    </row>
    <row r="211" spans="1:19" x14ac:dyDescent="0.2">
      <c r="A211" t="s">
        <v>1945</v>
      </c>
      <c r="B211" t="s">
        <v>1942</v>
      </c>
      <c r="C211">
        <v>19</v>
      </c>
      <c r="D211" t="s">
        <v>388</v>
      </c>
      <c r="E211">
        <v>0</v>
      </c>
      <c r="F211" t="s">
        <v>1944</v>
      </c>
      <c r="G211" t="s">
        <v>118</v>
      </c>
      <c r="H211" t="s">
        <v>117</v>
      </c>
      <c r="I211">
        <v>0.61464136347641696</v>
      </c>
      <c r="J211">
        <v>0.882619649581324</v>
      </c>
      <c r="K211">
        <v>1</v>
      </c>
      <c r="L211">
        <v>53</v>
      </c>
      <c r="M211">
        <v>501</v>
      </c>
      <c r="N211" t="s">
        <v>698</v>
      </c>
      <c r="O211" t="s">
        <v>1940</v>
      </c>
      <c r="P211">
        <v>7962</v>
      </c>
      <c r="Q211">
        <v>9572</v>
      </c>
      <c r="R211" t="s">
        <v>1939</v>
      </c>
      <c r="S211" t="s">
        <v>1938</v>
      </c>
    </row>
    <row r="212" spans="1:19" x14ac:dyDescent="0.2">
      <c r="A212" t="s">
        <v>1932</v>
      </c>
      <c r="B212" t="s">
        <v>1929</v>
      </c>
      <c r="C212">
        <v>19</v>
      </c>
      <c r="D212" t="s">
        <v>388</v>
      </c>
      <c r="E212">
        <v>0</v>
      </c>
      <c r="F212" t="s">
        <v>1931</v>
      </c>
      <c r="G212" t="s">
        <v>118</v>
      </c>
      <c r="H212" t="s">
        <v>117</v>
      </c>
      <c r="I212">
        <v>0.76994113949260101</v>
      </c>
      <c r="J212">
        <v>0.85976249910497604</v>
      </c>
      <c r="K212">
        <v>13</v>
      </c>
      <c r="L212">
        <v>10</v>
      </c>
      <c r="M212">
        <v>500</v>
      </c>
      <c r="N212" t="s">
        <v>698</v>
      </c>
      <c r="O212" t="s">
        <v>1920</v>
      </c>
      <c r="P212">
        <v>7966</v>
      </c>
      <c r="Q212">
        <v>10062</v>
      </c>
      <c r="R212" t="s">
        <v>1927</v>
      </c>
      <c r="S212" t="s">
        <v>1926</v>
      </c>
    </row>
    <row r="213" spans="1:19" x14ac:dyDescent="0.2">
      <c r="A213" t="s">
        <v>1925</v>
      </c>
      <c r="B213" t="s">
        <v>1922</v>
      </c>
      <c r="C213">
        <v>19</v>
      </c>
      <c r="D213" t="s">
        <v>388</v>
      </c>
      <c r="E213">
        <v>0</v>
      </c>
      <c r="F213" t="s">
        <v>1924</v>
      </c>
      <c r="G213" t="s">
        <v>118</v>
      </c>
      <c r="H213" t="s">
        <v>117</v>
      </c>
      <c r="J213">
        <v>0.925590933069663</v>
      </c>
      <c r="L213">
        <v>15</v>
      </c>
      <c r="M213">
        <v>451</v>
      </c>
      <c r="N213" t="s">
        <v>698</v>
      </c>
      <c r="O213" t="s">
        <v>1920</v>
      </c>
      <c r="P213">
        <v>7967</v>
      </c>
      <c r="Q213">
        <v>9971</v>
      </c>
      <c r="R213" t="s">
        <v>1919</v>
      </c>
      <c r="S213" t="s">
        <v>1918</v>
      </c>
    </row>
    <row r="214" spans="1:19" x14ac:dyDescent="0.2">
      <c r="A214" t="s">
        <v>1917</v>
      </c>
      <c r="B214" t="s">
        <v>1914</v>
      </c>
      <c r="C214">
        <v>19</v>
      </c>
      <c r="D214" t="s">
        <v>120</v>
      </c>
      <c r="E214">
        <v>0</v>
      </c>
      <c r="F214" t="s">
        <v>1916</v>
      </c>
      <c r="G214" t="s">
        <v>229</v>
      </c>
      <c r="H214" t="s">
        <v>228</v>
      </c>
      <c r="M214">
        <v>29</v>
      </c>
      <c r="N214" t="s">
        <v>698</v>
      </c>
      <c r="O214" t="s">
        <v>697</v>
      </c>
      <c r="P214">
        <v>7968</v>
      </c>
      <c r="Q214">
        <v>8856</v>
      </c>
      <c r="R214" t="s">
        <v>1912</v>
      </c>
      <c r="S214" t="s">
        <v>1911</v>
      </c>
    </row>
    <row r="215" spans="1:19" x14ac:dyDescent="0.2">
      <c r="A215" t="s">
        <v>1910</v>
      </c>
      <c r="B215" t="s">
        <v>1907</v>
      </c>
      <c r="C215">
        <v>18</v>
      </c>
      <c r="D215" t="s">
        <v>120</v>
      </c>
      <c r="E215">
        <v>0</v>
      </c>
      <c r="F215" t="s">
        <v>1909</v>
      </c>
      <c r="G215" t="s">
        <v>229</v>
      </c>
      <c r="H215" t="s">
        <v>228</v>
      </c>
      <c r="M215">
        <v>28</v>
      </c>
      <c r="N215" t="s">
        <v>698</v>
      </c>
      <c r="O215" t="s">
        <v>697</v>
      </c>
      <c r="P215">
        <v>7969</v>
      </c>
      <c r="Q215">
        <v>9970</v>
      </c>
      <c r="R215" t="s">
        <v>1905</v>
      </c>
      <c r="S215" t="s">
        <v>1904</v>
      </c>
    </row>
    <row r="216" spans="1:19" x14ac:dyDescent="0.2">
      <c r="A216" t="s">
        <v>1903</v>
      </c>
      <c r="B216" t="s">
        <v>1902</v>
      </c>
      <c r="C216">
        <v>13</v>
      </c>
      <c r="D216" t="s">
        <v>120</v>
      </c>
      <c r="E216">
        <v>0</v>
      </c>
      <c r="F216" t="s">
        <v>1901</v>
      </c>
      <c r="G216" t="s">
        <v>229</v>
      </c>
      <c r="H216" t="s">
        <v>228</v>
      </c>
      <c r="M216">
        <v>19</v>
      </c>
      <c r="N216" t="s">
        <v>1304</v>
      </c>
      <c r="O216" t="s">
        <v>1895</v>
      </c>
      <c r="P216">
        <v>7971</v>
      </c>
      <c r="Q216">
        <v>7181</v>
      </c>
      <c r="R216" t="s">
        <v>1900</v>
      </c>
      <c r="S216" t="s">
        <v>1899</v>
      </c>
    </row>
    <row r="217" spans="1:19" x14ac:dyDescent="0.2">
      <c r="A217" t="s">
        <v>1898</v>
      </c>
      <c r="B217" t="s">
        <v>1897</v>
      </c>
      <c r="C217">
        <v>12</v>
      </c>
      <c r="D217" t="s">
        <v>388</v>
      </c>
      <c r="E217">
        <v>0</v>
      </c>
      <c r="F217" t="s">
        <v>1896</v>
      </c>
      <c r="G217" t="s">
        <v>118</v>
      </c>
      <c r="H217" t="s">
        <v>117</v>
      </c>
      <c r="I217">
        <v>0.84350077596511597</v>
      </c>
      <c r="K217">
        <v>35</v>
      </c>
      <c r="M217">
        <v>502</v>
      </c>
      <c r="N217" t="s">
        <v>1304</v>
      </c>
      <c r="O217" t="s">
        <v>1895</v>
      </c>
      <c r="P217">
        <v>7972</v>
      </c>
      <c r="Q217">
        <v>7182</v>
      </c>
      <c r="R217" t="s">
        <v>1894</v>
      </c>
      <c r="S217" t="s">
        <v>1893</v>
      </c>
    </row>
    <row r="218" spans="1:19" x14ac:dyDescent="0.2">
      <c r="A218" t="s">
        <v>1887</v>
      </c>
      <c r="B218" t="s">
        <v>1886</v>
      </c>
      <c r="C218">
        <v>14</v>
      </c>
      <c r="D218" t="s">
        <v>120</v>
      </c>
      <c r="E218">
        <v>0</v>
      </c>
      <c r="F218" t="s">
        <v>1885</v>
      </c>
      <c r="G218" t="s">
        <v>229</v>
      </c>
      <c r="H218" t="s">
        <v>228</v>
      </c>
      <c r="M218">
        <v>23</v>
      </c>
      <c r="N218" t="s">
        <v>1304</v>
      </c>
      <c r="O218" t="s">
        <v>1884</v>
      </c>
      <c r="P218">
        <v>7974</v>
      </c>
      <c r="Q218">
        <v>10002</v>
      </c>
      <c r="R218" t="s">
        <v>1883</v>
      </c>
      <c r="S218" t="s">
        <v>1882</v>
      </c>
    </row>
    <row r="219" spans="1:19" x14ac:dyDescent="0.2">
      <c r="A219" t="s">
        <v>1875</v>
      </c>
      <c r="B219" t="s">
        <v>1874</v>
      </c>
      <c r="C219">
        <v>9</v>
      </c>
      <c r="D219" t="s">
        <v>363</v>
      </c>
      <c r="E219">
        <v>0</v>
      </c>
      <c r="F219" t="s">
        <v>1873</v>
      </c>
      <c r="G219" t="s">
        <v>118</v>
      </c>
      <c r="H219" t="s">
        <v>117</v>
      </c>
      <c r="I219">
        <v>0.91999269189397004</v>
      </c>
      <c r="J219">
        <v>0.54695107330330495</v>
      </c>
      <c r="K219">
        <v>12</v>
      </c>
      <c r="L219">
        <v>2</v>
      </c>
      <c r="M219">
        <v>491</v>
      </c>
      <c r="N219" t="s">
        <v>1860</v>
      </c>
      <c r="O219" t="s">
        <v>1872</v>
      </c>
      <c r="P219">
        <v>7980</v>
      </c>
      <c r="Q219">
        <v>3164</v>
      </c>
      <c r="R219" t="s">
        <v>1871</v>
      </c>
      <c r="S219" t="s">
        <v>1870</v>
      </c>
    </row>
    <row r="220" spans="1:19" x14ac:dyDescent="0.2">
      <c r="A220" t="s">
        <v>1869</v>
      </c>
      <c r="B220" t="s">
        <v>1868</v>
      </c>
      <c r="C220">
        <v>9</v>
      </c>
      <c r="D220" t="s">
        <v>120</v>
      </c>
      <c r="E220">
        <v>0</v>
      </c>
      <c r="F220" t="s">
        <v>1867</v>
      </c>
      <c r="G220" t="s">
        <v>229</v>
      </c>
      <c r="H220" t="s">
        <v>228</v>
      </c>
      <c r="M220">
        <v>33</v>
      </c>
      <c r="N220" t="s">
        <v>1860</v>
      </c>
      <c r="O220" t="s">
        <v>1866</v>
      </c>
      <c r="P220">
        <v>7981</v>
      </c>
      <c r="Q220">
        <v>4929</v>
      </c>
      <c r="R220" t="s">
        <v>1865</v>
      </c>
      <c r="S220" t="s">
        <v>1864</v>
      </c>
    </row>
    <row r="221" spans="1:19" x14ac:dyDescent="0.2">
      <c r="A221" t="s">
        <v>1856</v>
      </c>
      <c r="B221" t="s">
        <v>1855</v>
      </c>
      <c r="C221">
        <v>11</v>
      </c>
      <c r="D221" t="s">
        <v>388</v>
      </c>
      <c r="E221">
        <v>0</v>
      </c>
      <c r="F221" t="s">
        <v>1854</v>
      </c>
      <c r="G221" t="s">
        <v>118</v>
      </c>
      <c r="H221" t="s">
        <v>117</v>
      </c>
      <c r="I221">
        <v>0.55495688030146695</v>
      </c>
      <c r="J221">
        <v>0.95852190635603196</v>
      </c>
      <c r="K221">
        <v>4</v>
      </c>
      <c r="L221">
        <v>8</v>
      </c>
      <c r="M221">
        <v>500</v>
      </c>
      <c r="N221" t="s">
        <v>997</v>
      </c>
      <c r="O221" t="s">
        <v>1853</v>
      </c>
      <c r="P221">
        <v>7984</v>
      </c>
      <c r="Q221">
        <v>2494</v>
      </c>
      <c r="R221" t="s">
        <v>1852</v>
      </c>
      <c r="S221" t="s">
        <v>1851</v>
      </c>
    </row>
    <row r="222" spans="1:19" x14ac:dyDescent="0.2">
      <c r="A222" t="s">
        <v>1850</v>
      </c>
      <c r="B222" t="s">
        <v>1849</v>
      </c>
      <c r="C222">
        <v>13</v>
      </c>
      <c r="D222" t="s">
        <v>388</v>
      </c>
      <c r="E222">
        <v>0</v>
      </c>
      <c r="F222" t="s">
        <v>1848</v>
      </c>
      <c r="G222" t="s">
        <v>229</v>
      </c>
      <c r="H222" t="s">
        <v>228</v>
      </c>
      <c r="M222">
        <v>51</v>
      </c>
      <c r="N222" t="s">
        <v>1847</v>
      </c>
      <c r="O222" t="s">
        <v>1846</v>
      </c>
      <c r="P222">
        <v>7985</v>
      </c>
      <c r="Q222">
        <v>2649</v>
      </c>
      <c r="R222" t="s">
        <v>1845</v>
      </c>
      <c r="S222" t="s">
        <v>1844</v>
      </c>
    </row>
    <row r="223" spans="1:19" x14ac:dyDescent="0.2">
      <c r="A223" t="s">
        <v>1843</v>
      </c>
      <c r="B223" t="s">
        <v>76</v>
      </c>
      <c r="C223">
        <v>17</v>
      </c>
      <c r="D223" t="s">
        <v>363</v>
      </c>
      <c r="E223">
        <v>0</v>
      </c>
      <c r="F223" t="s">
        <v>1842</v>
      </c>
      <c r="G223" t="s">
        <v>118</v>
      </c>
      <c r="H223" t="s">
        <v>117</v>
      </c>
      <c r="I223">
        <v>0.99897323277233296</v>
      </c>
      <c r="J223">
        <v>0.99748240200496696</v>
      </c>
      <c r="K223">
        <v>31</v>
      </c>
      <c r="L223">
        <v>23</v>
      </c>
      <c r="M223">
        <v>501</v>
      </c>
      <c r="N223" t="s">
        <v>1841</v>
      </c>
      <c r="O223" t="s">
        <v>1840</v>
      </c>
      <c r="P223">
        <v>7996</v>
      </c>
      <c r="Q223">
        <v>4899</v>
      </c>
      <c r="R223" t="s">
        <v>1839</v>
      </c>
      <c r="S223" t="s">
        <v>1838</v>
      </c>
    </row>
    <row r="224" spans="1:19" x14ac:dyDescent="0.2">
      <c r="A224" t="s">
        <v>1825</v>
      </c>
      <c r="B224" t="s">
        <v>1822</v>
      </c>
      <c r="C224">
        <v>18</v>
      </c>
      <c r="D224" t="s">
        <v>388</v>
      </c>
      <c r="E224">
        <v>0</v>
      </c>
      <c r="F224" t="s">
        <v>1824</v>
      </c>
      <c r="G224" t="s">
        <v>118</v>
      </c>
      <c r="H224" t="s">
        <v>117</v>
      </c>
      <c r="J224">
        <v>0.92536151003187095</v>
      </c>
      <c r="L224">
        <v>19</v>
      </c>
      <c r="M224">
        <v>500</v>
      </c>
      <c r="N224" t="s">
        <v>753</v>
      </c>
      <c r="O224" t="s">
        <v>1815</v>
      </c>
      <c r="P224">
        <v>9398</v>
      </c>
      <c r="Q224">
        <v>10215</v>
      </c>
      <c r="R224" t="s">
        <v>1820</v>
      </c>
      <c r="S224" t="s">
        <v>1819</v>
      </c>
    </row>
    <row r="225" spans="1:19" x14ac:dyDescent="0.2">
      <c r="A225" t="s">
        <v>1800</v>
      </c>
      <c r="B225" t="s">
        <v>1799</v>
      </c>
      <c r="C225">
        <v>16</v>
      </c>
      <c r="D225" t="s">
        <v>120</v>
      </c>
      <c r="E225">
        <v>0</v>
      </c>
      <c r="F225" t="s">
        <v>1798</v>
      </c>
      <c r="G225" t="s">
        <v>118</v>
      </c>
      <c r="H225" t="s">
        <v>117</v>
      </c>
      <c r="I225">
        <v>0.89828377359478595</v>
      </c>
      <c r="K225">
        <v>3</v>
      </c>
      <c r="M225">
        <v>492</v>
      </c>
      <c r="N225" t="s">
        <v>107</v>
      </c>
      <c r="O225" t="s">
        <v>125</v>
      </c>
      <c r="P225">
        <v>15830</v>
      </c>
      <c r="Q225">
        <v>116039</v>
      </c>
      <c r="R225" t="s">
        <v>1797</v>
      </c>
      <c r="S225" t="s">
        <v>1796</v>
      </c>
    </row>
    <row r="226" spans="1:19" x14ac:dyDescent="0.2">
      <c r="A226" t="s">
        <v>1790</v>
      </c>
      <c r="B226" t="s">
        <v>1789</v>
      </c>
      <c r="C226">
        <v>11</v>
      </c>
      <c r="D226" t="s">
        <v>363</v>
      </c>
      <c r="E226">
        <v>0</v>
      </c>
      <c r="F226" t="s">
        <v>1788</v>
      </c>
      <c r="G226" t="s">
        <v>118</v>
      </c>
      <c r="H226" t="s">
        <v>117</v>
      </c>
      <c r="I226">
        <v>0.86298126018874599</v>
      </c>
      <c r="J226">
        <v>0.88602102298065599</v>
      </c>
      <c r="K226">
        <v>5</v>
      </c>
      <c r="L226">
        <v>18</v>
      </c>
      <c r="M226">
        <v>500</v>
      </c>
      <c r="N226" t="s">
        <v>671</v>
      </c>
      <c r="O226" t="s">
        <v>1787</v>
      </c>
      <c r="P226">
        <v>8522</v>
      </c>
      <c r="Q226">
        <v>5015</v>
      </c>
      <c r="R226" t="s">
        <v>1786</v>
      </c>
      <c r="S226" t="s">
        <v>1785</v>
      </c>
    </row>
    <row r="227" spans="1:19" x14ac:dyDescent="0.2">
      <c r="A227" t="s">
        <v>1784</v>
      </c>
      <c r="B227" t="s">
        <v>1783</v>
      </c>
      <c r="C227">
        <v>9</v>
      </c>
      <c r="D227" t="s">
        <v>120</v>
      </c>
      <c r="E227">
        <v>0</v>
      </c>
      <c r="F227" t="s">
        <v>1782</v>
      </c>
      <c r="G227" t="s">
        <v>229</v>
      </c>
      <c r="H227" t="s">
        <v>228</v>
      </c>
      <c r="M227">
        <v>7</v>
      </c>
      <c r="N227" t="s">
        <v>107</v>
      </c>
      <c r="O227" t="s">
        <v>1776</v>
      </c>
      <c r="P227">
        <v>8525</v>
      </c>
      <c r="Q227">
        <v>5017</v>
      </c>
      <c r="R227" t="s">
        <v>1781</v>
      </c>
      <c r="S227" t="s">
        <v>1780</v>
      </c>
    </row>
    <row r="228" spans="1:19" x14ac:dyDescent="0.2">
      <c r="A228" t="s">
        <v>1773</v>
      </c>
      <c r="B228" t="s">
        <v>1772</v>
      </c>
      <c r="C228">
        <v>24</v>
      </c>
      <c r="D228" t="s">
        <v>120</v>
      </c>
      <c r="E228">
        <v>0</v>
      </c>
      <c r="F228" t="s">
        <v>1771</v>
      </c>
      <c r="G228" t="s">
        <v>118</v>
      </c>
      <c r="H228" t="s">
        <v>117</v>
      </c>
      <c r="I228">
        <v>0.98818124079518499</v>
      </c>
      <c r="K228">
        <v>4</v>
      </c>
      <c r="M228">
        <v>451</v>
      </c>
      <c r="N228" t="s">
        <v>107</v>
      </c>
      <c r="O228" t="s">
        <v>432</v>
      </c>
      <c r="P228">
        <v>12931</v>
      </c>
      <c r="Q228">
        <v>7705</v>
      </c>
      <c r="R228" t="s">
        <v>1770</v>
      </c>
      <c r="S228" t="s">
        <v>1769</v>
      </c>
    </row>
    <row r="229" spans="1:19" x14ac:dyDescent="0.2">
      <c r="A229" t="s">
        <v>1768</v>
      </c>
      <c r="B229" t="s">
        <v>1765</v>
      </c>
      <c r="C229">
        <v>20</v>
      </c>
      <c r="D229" t="s">
        <v>363</v>
      </c>
      <c r="E229">
        <v>0</v>
      </c>
      <c r="F229" t="s">
        <v>1767</v>
      </c>
      <c r="G229" t="s">
        <v>118</v>
      </c>
      <c r="H229" t="s">
        <v>117</v>
      </c>
      <c r="I229">
        <v>0.99531570154407401</v>
      </c>
      <c r="J229">
        <v>0.97923363860996204</v>
      </c>
      <c r="K229">
        <v>141</v>
      </c>
      <c r="L229">
        <v>39</v>
      </c>
      <c r="M229">
        <v>487</v>
      </c>
      <c r="N229" t="s">
        <v>1742</v>
      </c>
      <c r="O229" t="s">
        <v>1763</v>
      </c>
      <c r="P229">
        <v>11998</v>
      </c>
      <c r="Q229">
        <v>7157</v>
      </c>
      <c r="R229" t="s">
        <v>1762</v>
      </c>
      <c r="S229" t="s">
        <v>1761</v>
      </c>
    </row>
    <row r="230" spans="1:19" x14ac:dyDescent="0.2">
      <c r="A230" t="s">
        <v>1755</v>
      </c>
      <c r="B230" t="s">
        <v>1752</v>
      </c>
      <c r="C230">
        <v>19</v>
      </c>
      <c r="D230" t="s">
        <v>363</v>
      </c>
      <c r="E230">
        <v>0</v>
      </c>
      <c r="F230" t="s">
        <v>1754</v>
      </c>
      <c r="G230" t="s">
        <v>118</v>
      </c>
      <c r="H230" t="s">
        <v>117</v>
      </c>
      <c r="I230">
        <v>0.9963451944574</v>
      </c>
      <c r="K230">
        <v>79</v>
      </c>
      <c r="M230">
        <v>500</v>
      </c>
      <c r="N230" t="s">
        <v>1742</v>
      </c>
      <c r="O230" t="s">
        <v>1750</v>
      </c>
      <c r="P230">
        <v>15979</v>
      </c>
      <c r="Q230">
        <v>8626</v>
      </c>
      <c r="R230" t="s">
        <v>1749</v>
      </c>
      <c r="S230" t="s">
        <v>1748</v>
      </c>
    </row>
    <row r="231" spans="1:19" x14ac:dyDescent="0.2">
      <c r="A231" t="s">
        <v>1747</v>
      </c>
      <c r="B231" t="s">
        <v>1744</v>
      </c>
      <c r="C231">
        <v>19</v>
      </c>
      <c r="D231" t="s">
        <v>363</v>
      </c>
      <c r="E231">
        <v>0</v>
      </c>
      <c r="F231" t="s">
        <v>1746</v>
      </c>
      <c r="G231" t="s">
        <v>118</v>
      </c>
      <c r="H231" t="s">
        <v>117</v>
      </c>
      <c r="I231">
        <v>0.99637023727994101</v>
      </c>
      <c r="K231">
        <v>10</v>
      </c>
      <c r="M231">
        <v>500</v>
      </c>
      <c r="N231" t="s">
        <v>1742</v>
      </c>
      <c r="O231" t="s">
        <v>1741</v>
      </c>
      <c r="P231">
        <v>12003</v>
      </c>
      <c r="Q231">
        <v>7161</v>
      </c>
      <c r="R231" t="s">
        <v>1740</v>
      </c>
      <c r="S231" t="s">
        <v>1739</v>
      </c>
    </row>
    <row r="232" spans="1:19" x14ac:dyDescent="0.2">
      <c r="A232" t="s">
        <v>1738</v>
      </c>
      <c r="B232" t="s">
        <v>1735</v>
      </c>
      <c r="C232">
        <v>22</v>
      </c>
      <c r="D232" t="s">
        <v>120</v>
      </c>
      <c r="E232">
        <v>0</v>
      </c>
      <c r="F232" t="s">
        <v>1737</v>
      </c>
      <c r="G232" t="s">
        <v>118</v>
      </c>
      <c r="H232" t="s">
        <v>117</v>
      </c>
      <c r="I232">
        <v>0.91692789160041599</v>
      </c>
      <c r="K232">
        <v>6</v>
      </c>
      <c r="M232">
        <v>498</v>
      </c>
      <c r="N232" t="s">
        <v>137</v>
      </c>
      <c r="O232" t="s">
        <v>682</v>
      </c>
      <c r="P232">
        <v>13071</v>
      </c>
      <c r="Q232">
        <v>23598</v>
      </c>
      <c r="R232" t="s">
        <v>1733</v>
      </c>
      <c r="S232" t="s">
        <v>1732</v>
      </c>
    </row>
    <row r="233" spans="1:19" x14ac:dyDescent="0.2">
      <c r="A233" t="s">
        <v>1710</v>
      </c>
      <c r="B233" t="s">
        <v>1709</v>
      </c>
      <c r="C233">
        <v>21</v>
      </c>
      <c r="D233" t="s">
        <v>363</v>
      </c>
      <c r="E233">
        <v>0</v>
      </c>
      <c r="F233" t="s">
        <v>1708</v>
      </c>
      <c r="G233" t="s">
        <v>118</v>
      </c>
      <c r="H233" t="s">
        <v>117</v>
      </c>
      <c r="I233">
        <v>0.92213574200846704</v>
      </c>
      <c r="J233">
        <v>0.82284012073487101</v>
      </c>
      <c r="K233">
        <v>32</v>
      </c>
      <c r="L233">
        <v>8</v>
      </c>
      <c r="M233">
        <v>202</v>
      </c>
      <c r="N233" t="s">
        <v>1689</v>
      </c>
      <c r="O233" t="s">
        <v>1688</v>
      </c>
      <c r="P233">
        <v>8619</v>
      </c>
      <c r="Q233">
        <v>5079</v>
      </c>
      <c r="R233" t="s">
        <v>1707</v>
      </c>
      <c r="S233" t="s">
        <v>1706</v>
      </c>
    </row>
    <row r="234" spans="1:19" x14ac:dyDescent="0.2">
      <c r="A234" t="s">
        <v>1705</v>
      </c>
      <c r="B234" t="s">
        <v>1704</v>
      </c>
      <c r="C234">
        <v>12</v>
      </c>
      <c r="D234" t="s">
        <v>120</v>
      </c>
      <c r="E234">
        <v>0</v>
      </c>
      <c r="F234" t="s">
        <v>1703</v>
      </c>
      <c r="G234" t="s">
        <v>118</v>
      </c>
      <c r="H234" t="s">
        <v>117</v>
      </c>
      <c r="I234">
        <v>0.74940795899122603</v>
      </c>
      <c r="J234">
        <v>0.73412016663317003</v>
      </c>
      <c r="K234">
        <v>6</v>
      </c>
      <c r="L234">
        <v>8</v>
      </c>
      <c r="M234">
        <v>500</v>
      </c>
      <c r="N234" t="s">
        <v>1696</v>
      </c>
      <c r="O234" t="s">
        <v>1702</v>
      </c>
      <c r="P234">
        <v>8620</v>
      </c>
      <c r="Q234">
        <v>5080</v>
      </c>
      <c r="R234" t="s">
        <v>1701</v>
      </c>
      <c r="S234" t="s">
        <v>1700</v>
      </c>
    </row>
    <row r="235" spans="1:19" x14ac:dyDescent="0.2">
      <c r="A235" t="s">
        <v>1685</v>
      </c>
      <c r="B235" t="s">
        <v>1682</v>
      </c>
      <c r="C235">
        <v>10</v>
      </c>
      <c r="D235" t="s">
        <v>363</v>
      </c>
      <c r="E235">
        <v>0</v>
      </c>
      <c r="F235" t="s">
        <v>1684</v>
      </c>
      <c r="G235" t="s">
        <v>118</v>
      </c>
      <c r="H235" t="s">
        <v>117</v>
      </c>
      <c r="I235">
        <v>0.93561486258305304</v>
      </c>
      <c r="J235">
        <v>0.88296552878788004</v>
      </c>
      <c r="K235">
        <v>2</v>
      </c>
      <c r="L235">
        <v>36</v>
      </c>
      <c r="M235">
        <v>501</v>
      </c>
      <c r="N235" t="s">
        <v>796</v>
      </c>
      <c r="O235" t="s">
        <v>1668</v>
      </c>
      <c r="P235">
        <v>8632</v>
      </c>
      <c r="Q235">
        <v>5087</v>
      </c>
      <c r="R235" t="s">
        <v>1680</v>
      </c>
      <c r="S235" t="s">
        <v>1679</v>
      </c>
    </row>
    <row r="236" spans="1:19" x14ac:dyDescent="0.2">
      <c r="A236" t="s">
        <v>1678</v>
      </c>
      <c r="B236" t="s">
        <v>1677</v>
      </c>
      <c r="C236">
        <v>15</v>
      </c>
      <c r="D236" t="s">
        <v>120</v>
      </c>
      <c r="E236">
        <v>0</v>
      </c>
      <c r="F236" t="s">
        <v>1676</v>
      </c>
      <c r="G236" t="s">
        <v>229</v>
      </c>
      <c r="H236" t="s">
        <v>228</v>
      </c>
      <c r="M236">
        <v>19</v>
      </c>
      <c r="N236" t="s">
        <v>796</v>
      </c>
      <c r="O236" t="s">
        <v>1668</v>
      </c>
      <c r="P236">
        <v>8633</v>
      </c>
      <c r="Q236">
        <v>5089</v>
      </c>
      <c r="R236" t="s">
        <v>1675</v>
      </c>
      <c r="S236" t="s">
        <v>1674</v>
      </c>
    </row>
    <row r="237" spans="1:19" x14ac:dyDescent="0.2">
      <c r="A237" t="s">
        <v>1673</v>
      </c>
      <c r="B237" t="s">
        <v>1670</v>
      </c>
      <c r="C237">
        <v>11</v>
      </c>
      <c r="D237" t="s">
        <v>363</v>
      </c>
      <c r="E237">
        <v>0</v>
      </c>
      <c r="F237" t="s">
        <v>1672</v>
      </c>
      <c r="G237" t="s">
        <v>118</v>
      </c>
      <c r="H237" t="s">
        <v>117</v>
      </c>
      <c r="I237">
        <v>0.940779421878286</v>
      </c>
      <c r="K237">
        <v>17</v>
      </c>
      <c r="M237">
        <v>420</v>
      </c>
      <c r="N237" t="s">
        <v>796</v>
      </c>
      <c r="O237" t="s">
        <v>1668</v>
      </c>
      <c r="P237">
        <v>8634</v>
      </c>
      <c r="Q237">
        <v>5090</v>
      </c>
      <c r="R237" t="s">
        <v>1667</v>
      </c>
      <c r="S237" t="s">
        <v>1666</v>
      </c>
    </row>
    <row r="238" spans="1:19" x14ac:dyDescent="0.2">
      <c r="A238" t="s">
        <v>1665</v>
      </c>
      <c r="B238" t="s">
        <v>1662</v>
      </c>
      <c r="C238">
        <v>9</v>
      </c>
      <c r="D238" t="s">
        <v>363</v>
      </c>
      <c r="E238">
        <v>0</v>
      </c>
      <c r="F238" t="s">
        <v>1664</v>
      </c>
      <c r="G238" t="s">
        <v>118</v>
      </c>
      <c r="H238" t="s">
        <v>117</v>
      </c>
      <c r="I238">
        <v>0.95985857994046198</v>
      </c>
      <c r="J238">
        <v>0.81388933235532801</v>
      </c>
      <c r="K238">
        <v>10</v>
      </c>
      <c r="L238">
        <v>4</v>
      </c>
      <c r="M238">
        <v>494</v>
      </c>
      <c r="N238" t="s">
        <v>1660</v>
      </c>
      <c r="O238" t="s">
        <v>1659</v>
      </c>
      <c r="P238">
        <v>6107</v>
      </c>
      <c r="Q238">
        <v>3651</v>
      </c>
      <c r="R238" t="s">
        <v>1658</v>
      </c>
      <c r="S238" t="s">
        <v>1657</v>
      </c>
    </row>
    <row r="239" spans="1:19" x14ac:dyDescent="0.2">
      <c r="A239" t="s">
        <v>1656</v>
      </c>
      <c r="B239" t="s">
        <v>1655</v>
      </c>
      <c r="C239">
        <v>11</v>
      </c>
      <c r="D239" t="s">
        <v>120</v>
      </c>
      <c r="E239">
        <v>0</v>
      </c>
      <c r="F239" t="s">
        <v>1654</v>
      </c>
      <c r="G239" t="s">
        <v>229</v>
      </c>
      <c r="H239" t="s">
        <v>228</v>
      </c>
      <c r="M239">
        <v>23</v>
      </c>
      <c r="P239">
        <v>1539</v>
      </c>
      <c r="Q239">
        <v>865</v>
      </c>
      <c r="R239" t="s">
        <v>1653</v>
      </c>
      <c r="S239" t="s">
        <v>1652</v>
      </c>
    </row>
    <row r="240" spans="1:19" x14ac:dyDescent="0.2">
      <c r="A240" t="s">
        <v>1641</v>
      </c>
      <c r="B240" t="s">
        <v>1640</v>
      </c>
      <c r="C240">
        <v>13</v>
      </c>
      <c r="D240" t="s">
        <v>120</v>
      </c>
      <c r="E240">
        <v>0</v>
      </c>
      <c r="F240" t="s">
        <v>1639</v>
      </c>
      <c r="G240" t="s">
        <v>229</v>
      </c>
      <c r="H240" t="s">
        <v>228</v>
      </c>
      <c r="M240">
        <v>39</v>
      </c>
      <c r="N240" t="s">
        <v>1533</v>
      </c>
      <c r="O240" t="s">
        <v>1638</v>
      </c>
      <c r="P240">
        <v>9210</v>
      </c>
      <c r="Q240">
        <v>5449</v>
      </c>
      <c r="R240" t="s">
        <v>1637</v>
      </c>
      <c r="S240" t="s">
        <v>1636</v>
      </c>
    </row>
    <row r="241" spans="1:19" x14ac:dyDescent="0.2">
      <c r="A241" t="s">
        <v>1619</v>
      </c>
      <c r="B241" t="s">
        <v>1618</v>
      </c>
      <c r="C241">
        <v>11</v>
      </c>
      <c r="D241" t="s">
        <v>388</v>
      </c>
      <c r="E241">
        <v>0</v>
      </c>
      <c r="F241" t="s">
        <v>1617</v>
      </c>
      <c r="G241" t="s">
        <v>118</v>
      </c>
      <c r="H241" t="s">
        <v>117</v>
      </c>
      <c r="J241">
        <v>0.96737915520909601</v>
      </c>
      <c r="L241">
        <v>19</v>
      </c>
      <c r="M241">
        <v>480</v>
      </c>
      <c r="N241" t="s">
        <v>796</v>
      </c>
      <c r="O241" t="s">
        <v>1616</v>
      </c>
      <c r="P241">
        <v>9022</v>
      </c>
      <c r="Q241">
        <v>5316</v>
      </c>
      <c r="R241" t="s">
        <v>1615</v>
      </c>
      <c r="S241" t="s">
        <v>1614</v>
      </c>
    </row>
    <row r="242" spans="1:19" x14ac:dyDescent="0.2">
      <c r="A242" t="s">
        <v>1602</v>
      </c>
      <c r="B242" t="s">
        <v>1601</v>
      </c>
      <c r="C242">
        <v>16</v>
      </c>
      <c r="D242" t="s">
        <v>120</v>
      </c>
      <c r="E242">
        <v>0</v>
      </c>
      <c r="F242" t="s">
        <v>1600</v>
      </c>
      <c r="G242" t="s">
        <v>118</v>
      </c>
      <c r="H242" t="s">
        <v>117</v>
      </c>
      <c r="I242">
        <v>0.76580038419881202</v>
      </c>
      <c r="J242">
        <v>0.66879201443653902</v>
      </c>
      <c r="K242">
        <v>15</v>
      </c>
      <c r="L242">
        <v>14</v>
      </c>
      <c r="M242">
        <v>134</v>
      </c>
      <c r="N242" t="s">
        <v>1533</v>
      </c>
      <c r="O242" t="s">
        <v>1589</v>
      </c>
      <c r="P242">
        <v>9212</v>
      </c>
      <c r="Q242">
        <v>5451</v>
      </c>
      <c r="R242" t="s">
        <v>1599</v>
      </c>
      <c r="S242" t="s">
        <v>1598</v>
      </c>
    </row>
    <row r="243" spans="1:19" x14ac:dyDescent="0.2">
      <c r="A243" t="s">
        <v>1597</v>
      </c>
      <c r="B243" t="s">
        <v>1596</v>
      </c>
      <c r="C243">
        <v>11</v>
      </c>
      <c r="D243" t="s">
        <v>363</v>
      </c>
      <c r="E243">
        <v>0</v>
      </c>
      <c r="F243" t="s">
        <v>1595</v>
      </c>
      <c r="G243" t="s">
        <v>118</v>
      </c>
      <c r="H243" t="s">
        <v>117</v>
      </c>
      <c r="I243">
        <v>0.91903523964220002</v>
      </c>
      <c r="K243">
        <v>14</v>
      </c>
      <c r="M243">
        <v>501</v>
      </c>
      <c r="N243" t="s">
        <v>1533</v>
      </c>
      <c r="O243" t="s">
        <v>1589</v>
      </c>
      <c r="P243">
        <v>9213</v>
      </c>
      <c r="Q243">
        <v>5452</v>
      </c>
      <c r="R243" t="s">
        <v>1594</v>
      </c>
      <c r="S243" t="s">
        <v>1593</v>
      </c>
    </row>
    <row r="244" spans="1:19" x14ac:dyDescent="0.2">
      <c r="A244" t="s">
        <v>1586</v>
      </c>
      <c r="B244" t="s">
        <v>1585</v>
      </c>
      <c r="C244">
        <v>14</v>
      </c>
      <c r="D244" t="s">
        <v>120</v>
      </c>
      <c r="E244">
        <v>0</v>
      </c>
      <c r="F244" t="s">
        <v>1584</v>
      </c>
      <c r="G244" t="s">
        <v>229</v>
      </c>
      <c r="H244" t="s">
        <v>228</v>
      </c>
      <c r="M244">
        <v>16</v>
      </c>
      <c r="N244" t="s">
        <v>1533</v>
      </c>
      <c r="O244" t="s">
        <v>1568</v>
      </c>
      <c r="P244">
        <v>9214</v>
      </c>
      <c r="Q244">
        <v>5453</v>
      </c>
      <c r="R244" t="s">
        <v>1583</v>
      </c>
      <c r="S244" t="s">
        <v>1582</v>
      </c>
    </row>
    <row r="245" spans="1:19" x14ac:dyDescent="0.2">
      <c r="A245" t="s">
        <v>1581</v>
      </c>
      <c r="B245" t="s">
        <v>1580</v>
      </c>
      <c r="C245">
        <v>17</v>
      </c>
      <c r="D245" t="s">
        <v>363</v>
      </c>
      <c r="E245">
        <v>0</v>
      </c>
      <c r="F245" t="s">
        <v>1579</v>
      </c>
      <c r="G245" t="s">
        <v>118</v>
      </c>
      <c r="H245" t="s">
        <v>117</v>
      </c>
      <c r="I245">
        <v>0.92386199409260505</v>
      </c>
      <c r="J245">
        <v>0.91269076541864302</v>
      </c>
      <c r="K245">
        <v>12</v>
      </c>
      <c r="L245">
        <v>22</v>
      </c>
      <c r="M245">
        <v>507</v>
      </c>
      <c r="N245" t="s">
        <v>1533</v>
      </c>
      <c r="O245" t="s">
        <v>1568</v>
      </c>
      <c r="P245">
        <v>9215</v>
      </c>
      <c r="Q245">
        <v>5454</v>
      </c>
      <c r="R245" t="s">
        <v>1578</v>
      </c>
      <c r="S245" t="s">
        <v>1577</v>
      </c>
    </row>
    <row r="246" spans="1:19" x14ac:dyDescent="0.2">
      <c r="A246" t="s">
        <v>1549</v>
      </c>
      <c r="B246" t="s">
        <v>1546</v>
      </c>
      <c r="C246">
        <v>16</v>
      </c>
      <c r="D246" t="s">
        <v>363</v>
      </c>
      <c r="E246">
        <v>0</v>
      </c>
      <c r="F246" t="s">
        <v>1548</v>
      </c>
      <c r="G246" t="s">
        <v>118</v>
      </c>
      <c r="H246" t="s">
        <v>117</v>
      </c>
      <c r="I246">
        <v>0.97683861365153402</v>
      </c>
      <c r="J246">
        <v>0.98152426122666403</v>
      </c>
      <c r="K246">
        <v>44</v>
      </c>
      <c r="L246">
        <v>119</v>
      </c>
      <c r="M246">
        <v>501</v>
      </c>
      <c r="N246" t="s">
        <v>1533</v>
      </c>
      <c r="O246" t="s">
        <v>1544</v>
      </c>
      <c r="P246">
        <v>9221</v>
      </c>
      <c r="Q246">
        <v>5460</v>
      </c>
      <c r="R246" t="s">
        <v>1543</v>
      </c>
      <c r="S246" t="s">
        <v>1542</v>
      </c>
    </row>
    <row r="247" spans="1:19" x14ac:dyDescent="0.2">
      <c r="A247" t="s">
        <v>1529</v>
      </c>
      <c r="B247" t="s">
        <v>1526</v>
      </c>
      <c r="C247">
        <v>17</v>
      </c>
      <c r="D247" t="s">
        <v>388</v>
      </c>
      <c r="E247">
        <v>0</v>
      </c>
      <c r="F247" t="s">
        <v>1528</v>
      </c>
      <c r="G247" t="s">
        <v>118</v>
      </c>
      <c r="H247" t="s">
        <v>117</v>
      </c>
      <c r="I247">
        <v>0.57552948131769899</v>
      </c>
      <c r="J247">
        <v>0.95586486824558903</v>
      </c>
      <c r="K247">
        <v>5</v>
      </c>
      <c r="L247">
        <v>20</v>
      </c>
      <c r="M247">
        <v>500</v>
      </c>
      <c r="N247" t="s">
        <v>698</v>
      </c>
      <c r="O247" t="s">
        <v>1512</v>
      </c>
      <c r="P247">
        <v>9232</v>
      </c>
      <c r="Q247">
        <v>5465</v>
      </c>
      <c r="R247" t="s">
        <v>1524</v>
      </c>
      <c r="S247" t="s">
        <v>1523</v>
      </c>
    </row>
    <row r="248" spans="1:19" x14ac:dyDescent="0.2">
      <c r="A248" t="s">
        <v>1517</v>
      </c>
      <c r="B248" t="s">
        <v>1514</v>
      </c>
      <c r="C248">
        <v>17</v>
      </c>
      <c r="D248" t="s">
        <v>363</v>
      </c>
      <c r="E248">
        <v>0</v>
      </c>
      <c r="F248" t="s">
        <v>1516</v>
      </c>
      <c r="G248" t="s">
        <v>118</v>
      </c>
      <c r="H248" t="s">
        <v>117</v>
      </c>
      <c r="I248">
        <v>0.95836680636298599</v>
      </c>
      <c r="J248">
        <v>0.95698165957428305</v>
      </c>
      <c r="K248">
        <v>53</v>
      </c>
      <c r="L248">
        <v>114</v>
      </c>
      <c r="M248">
        <v>500</v>
      </c>
      <c r="N248" t="s">
        <v>698</v>
      </c>
      <c r="O248" t="s">
        <v>1512</v>
      </c>
      <c r="P248">
        <v>9236</v>
      </c>
      <c r="Q248">
        <v>5468</v>
      </c>
      <c r="R248" t="s">
        <v>1511</v>
      </c>
      <c r="S248" t="s">
        <v>1510</v>
      </c>
    </row>
    <row r="249" spans="1:19" x14ac:dyDescent="0.2">
      <c r="A249" t="s">
        <v>1509</v>
      </c>
      <c r="B249" t="s">
        <v>1508</v>
      </c>
      <c r="C249">
        <v>14</v>
      </c>
      <c r="D249" t="s">
        <v>363</v>
      </c>
      <c r="E249">
        <v>0</v>
      </c>
      <c r="F249" t="s">
        <v>1507</v>
      </c>
      <c r="G249" t="s">
        <v>118</v>
      </c>
      <c r="H249" t="s">
        <v>117</v>
      </c>
      <c r="I249">
        <v>0.914152225697348</v>
      </c>
      <c r="J249">
        <v>0.88901979040091905</v>
      </c>
      <c r="K249">
        <v>7</v>
      </c>
      <c r="L249">
        <v>11</v>
      </c>
      <c r="M249">
        <v>500</v>
      </c>
      <c r="N249" t="s">
        <v>107</v>
      </c>
      <c r="O249" t="s">
        <v>125</v>
      </c>
      <c r="P249">
        <v>14001</v>
      </c>
      <c r="Q249">
        <v>63978</v>
      </c>
      <c r="R249" t="s">
        <v>1506</v>
      </c>
      <c r="S249" t="s">
        <v>1505</v>
      </c>
    </row>
    <row r="250" spans="1:19" x14ac:dyDescent="0.2">
      <c r="A250" t="s">
        <v>1504</v>
      </c>
      <c r="B250" t="s">
        <v>1503</v>
      </c>
      <c r="C250">
        <v>14</v>
      </c>
      <c r="D250" t="s">
        <v>363</v>
      </c>
      <c r="E250">
        <v>0</v>
      </c>
      <c r="F250" t="s">
        <v>1502</v>
      </c>
      <c r="G250" t="s">
        <v>118</v>
      </c>
      <c r="H250" t="s">
        <v>117</v>
      </c>
      <c r="I250">
        <v>0.95938385119761804</v>
      </c>
      <c r="J250">
        <v>0.96246289190505896</v>
      </c>
      <c r="K250">
        <v>12</v>
      </c>
      <c r="L250">
        <v>9</v>
      </c>
      <c r="M250">
        <v>502</v>
      </c>
      <c r="N250" t="s">
        <v>107</v>
      </c>
      <c r="O250" t="s">
        <v>1501</v>
      </c>
      <c r="P250">
        <v>9346</v>
      </c>
      <c r="Q250">
        <v>639</v>
      </c>
      <c r="R250" t="s">
        <v>1500</v>
      </c>
      <c r="S250" t="s">
        <v>1499</v>
      </c>
    </row>
    <row r="251" spans="1:19" x14ac:dyDescent="0.2">
      <c r="A251" t="s">
        <v>1493</v>
      </c>
      <c r="B251" t="s">
        <v>1492</v>
      </c>
      <c r="C251">
        <v>13</v>
      </c>
      <c r="D251" t="s">
        <v>120</v>
      </c>
      <c r="E251">
        <v>0</v>
      </c>
      <c r="F251" t="s">
        <v>1491</v>
      </c>
      <c r="G251" t="s">
        <v>118</v>
      </c>
      <c r="H251" t="s">
        <v>117</v>
      </c>
      <c r="I251">
        <v>0.95128820469175102</v>
      </c>
      <c r="K251">
        <v>2</v>
      </c>
      <c r="M251">
        <v>500</v>
      </c>
      <c r="N251" t="s">
        <v>107</v>
      </c>
      <c r="O251" t="s">
        <v>125</v>
      </c>
      <c r="P251">
        <v>9350</v>
      </c>
      <c r="Q251">
        <v>93166</v>
      </c>
      <c r="R251" t="s">
        <v>1490</v>
      </c>
      <c r="S251" t="s">
        <v>1489</v>
      </c>
    </row>
    <row r="252" spans="1:19" x14ac:dyDescent="0.2">
      <c r="A252" t="s">
        <v>1488</v>
      </c>
      <c r="B252" t="s">
        <v>1485</v>
      </c>
      <c r="C252">
        <v>16</v>
      </c>
      <c r="D252" t="s">
        <v>363</v>
      </c>
      <c r="E252">
        <v>0</v>
      </c>
      <c r="F252" t="s">
        <v>1487</v>
      </c>
      <c r="G252" t="s">
        <v>118</v>
      </c>
      <c r="H252" t="s">
        <v>117</v>
      </c>
      <c r="I252">
        <v>0.97030236376316203</v>
      </c>
      <c r="J252">
        <v>0.95679394186214695</v>
      </c>
      <c r="K252">
        <v>51</v>
      </c>
      <c r="L252">
        <v>15</v>
      </c>
      <c r="M252">
        <v>315</v>
      </c>
      <c r="N252" t="s">
        <v>1483</v>
      </c>
      <c r="O252" t="s">
        <v>1482</v>
      </c>
      <c r="P252">
        <v>8910</v>
      </c>
      <c r="Q252">
        <v>5241</v>
      </c>
      <c r="R252" t="s">
        <v>1481</v>
      </c>
      <c r="S252" t="s">
        <v>1480</v>
      </c>
    </row>
    <row r="253" spans="1:19" x14ac:dyDescent="0.2">
      <c r="A253" t="s">
        <v>1461</v>
      </c>
      <c r="B253" t="s">
        <v>1460</v>
      </c>
      <c r="C253">
        <v>7</v>
      </c>
      <c r="D253" t="s">
        <v>120</v>
      </c>
      <c r="E253">
        <v>0</v>
      </c>
      <c r="F253" t="s">
        <v>1459</v>
      </c>
      <c r="G253" t="s">
        <v>229</v>
      </c>
      <c r="H253" t="s">
        <v>228</v>
      </c>
      <c r="M253">
        <v>65</v>
      </c>
      <c r="N253" t="s">
        <v>671</v>
      </c>
      <c r="O253" t="s">
        <v>1458</v>
      </c>
      <c r="P253">
        <v>21338</v>
      </c>
      <c r="Q253">
        <v>51450</v>
      </c>
      <c r="R253" t="s">
        <v>1457</v>
      </c>
      <c r="S253" t="s">
        <v>1456</v>
      </c>
    </row>
    <row r="254" spans="1:19" x14ac:dyDescent="0.2">
      <c r="A254" t="s">
        <v>1455</v>
      </c>
      <c r="B254" t="s">
        <v>1452</v>
      </c>
      <c r="C254">
        <v>18</v>
      </c>
      <c r="D254" t="s">
        <v>388</v>
      </c>
      <c r="E254">
        <v>0</v>
      </c>
      <c r="F254" t="s">
        <v>1454</v>
      </c>
      <c r="G254" t="s">
        <v>118</v>
      </c>
      <c r="H254" t="s">
        <v>117</v>
      </c>
      <c r="J254">
        <v>0.96330669033315497</v>
      </c>
      <c r="L254">
        <v>20</v>
      </c>
      <c r="M254">
        <v>500</v>
      </c>
      <c r="N254" t="s">
        <v>753</v>
      </c>
      <c r="O254" t="s">
        <v>752</v>
      </c>
      <c r="P254">
        <v>23734</v>
      </c>
      <c r="Q254">
        <v>256297</v>
      </c>
      <c r="R254" t="s">
        <v>1450</v>
      </c>
      <c r="S254" t="s">
        <v>1449</v>
      </c>
    </row>
    <row r="255" spans="1:19" x14ac:dyDescent="0.2">
      <c r="A255" t="s">
        <v>1441</v>
      </c>
      <c r="B255" t="s">
        <v>1436</v>
      </c>
      <c r="C255">
        <v>20</v>
      </c>
      <c r="D255" t="s">
        <v>363</v>
      </c>
      <c r="E255">
        <v>0</v>
      </c>
      <c r="F255" t="s">
        <v>1440</v>
      </c>
      <c r="G255" t="s">
        <v>118</v>
      </c>
      <c r="H255" t="s">
        <v>117</v>
      </c>
      <c r="I255">
        <v>0.95076615360751005</v>
      </c>
      <c r="J255">
        <v>0.92745738231409802</v>
      </c>
      <c r="K255">
        <v>29</v>
      </c>
      <c r="L255">
        <v>32</v>
      </c>
      <c r="M255">
        <v>499</v>
      </c>
      <c r="N255" t="s">
        <v>698</v>
      </c>
      <c r="O255" t="s">
        <v>1420</v>
      </c>
      <c r="P255">
        <v>9864</v>
      </c>
      <c r="Q255">
        <v>5914</v>
      </c>
      <c r="R255" t="s">
        <v>1434</v>
      </c>
      <c r="S255" t="s">
        <v>1433</v>
      </c>
    </row>
    <row r="256" spans="1:19" x14ac:dyDescent="0.2">
      <c r="A256" t="s">
        <v>1427</v>
      </c>
      <c r="B256" t="s">
        <v>1422</v>
      </c>
      <c r="C256">
        <v>18</v>
      </c>
      <c r="D256" t="s">
        <v>388</v>
      </c>
      <c r="E256">
        <v>0</v>
      </c>
      <c r="F256" t="s">
        <v>1426</v>
      </c>
      <c r="G256" t="s">
        <v>118</v>
      </c>
      <c r="H256" t="s">
        <v>117</v>
      </c>
      <c r="I256">
        <v>0.82689003578022102</v>
      </c>
      <c r="K256">
        <v>12</v>
      </c>
      <c r="M256">
        <v>500</v>
      </c>
      <c r="N256" t="s">
        <v>698</v>
      </c>
      <c r="O256" t="s">
        <v>1420</v>
      </c>
      <c r="P256">
        <v>9866</v>
      </c>
      <c r="Q256">
        <v>5916</v>
      </c>
      <c r="R256" t="s">
        <v>1419</v>
      </c>
      <c r="S256" t="s">
        <v>1418</v>
      </c>
    </row>
    <row r="257" spans="1:19" x14ac:dyDescent="0.2">
      <c r="A257" t="s">
        <v>1412</v>
      </c>
      <c r="B257" t="s">
        <v>1411</v>
      </c>
      <c r="C257">
        <v>12</v>
      </c>
      <c r="D257" t="s">
        <v>120</v>
      </c>
      <c r="E257">
        <v>0</v>
      </c>
      <c r="F257" t="s">
        <v>1410</v>
      </c>
      <c r="G257" t="s">
        <v>229</v>
      </c>
      <c r="H257" t="s">
        <v>228</v>
      </c>
      <c r="M257">
        <v>28</v>
      </c>
      <c r="N257" t="s">
        <v>858</v>
      </c>
      <c r="O257" t="s">
        <v>857</v>
      </c>
      <c r="P257">
        <v>9956</v>
      </c>
      <c r="Q257">
        <v>5971</v>
      </c>
      <c r="R257" t="s">
        <v>1409</v>
      </c>
      <c r="S257" t="s">
        <v>1408</v>
      </c>
    </row>
    <row r="258" spans="1:19" x14ac:dyDescent="0.2">
      <c r="A258" t="s">
        <v>1407</v>
      </c>
      <c r="B258" t="s">
        <v>1406</v>
      </c>
      <c r="C258">
        <v>15</v>
      </c>
      <c r="D258" t="s">
        <v>388</v>
      </c>
      <c r="E258">
        <v>0</v>
      </c>
      <c r="F258" t="s">
        <v>1405</v>
      </c>
      <c r="G258" t="s">
        <v>118</v>
      </c>
      <c r="H258" t="s">
        <v>117</v>
      </c>
      <c r="J258">
        <v>0.92105028533603905</v>
      </c>
      <c r="L258">
        <v>11</v>
      </c>
      <c r="M258">
        <v>178</v>
      </c>
      <c r="N258" t="s">
        <v>858</v>
      </c>
      <c r="O258" t="s">
        <v>857</v>
      </c>
      <c r="P258">
        <v>9954</v>
      </c>
      <c r="Q258">
        <v>5966</v>
      </c>
      <c r="R258" t="s">
        <v>1404</v>
      </c>
      <c r="S258" t="s">
        <v>1403</v>
      </c>
    </row>
    <row r="259" spans="1:19" x14ac:dyDescent="0.2">
      <c r="A259" t="s">
        <v>1402</v>
      </c>
      <c r="B259" t="s">
        <v>1401</v>
      </c>
      <c r="C259">
        <v>22</v>
      </c>
      <c r="D259" t="s">
        <v>363</v>
      </c>
      <c r="E259">
        <v>0</v>
      </c>
      <c r="F259" t="s">
        <v>1400</v>
      </c>
      <c r="G259" t="s">
        <v>118</v>
      </c>
      <c r="H259" t="s">
        <v>117</v>
      </c>
      <c r="I259">
        <v>0.99107749783161003</v>
      </c>
      <c r="J259">
        <v>0.98042583686544904</v>
      </c>
      <c r="K259">
        <v>147</v>
      </c>
      <c r="L259">
        <v>33</v>
      </c>
      <c r="M259">
        <v>500</v>
      </c>
      <c r="N259" t="s">
        <v>137</v>
      </c>
      <c r="O259" t="s">
        <v>136</v>
      </c>
      <c r="P259">
        <v>9966</v>
      </c>
      <c r="Q259">
        <v>5978</v>
      </c>
      <c r="R259" t="s">
        <v>1399</v>
      </c>
      <c r="S259" t="s">
        <v>1398</v>
      </c>
    </row>
    <row r="260" spans="1:19" x14ac:dyDescent="0.2">
      <c r="A260" t="s">
        <v>1397</v>
      </c>
      <c r="B260" t="s">
        <v>1394</v>
      </c>
      <c r="C260">
        <v>22</v>
      </c>
      <c r="D260" t="s">
        <v>388</v>
      </c>
      <c r="E260">
        <v>0</v>
      </c>
      <c r="F260" t="s">
        <v>1396</v>
      </c>
      <c r="G260" t="s">
        <v>109</v>
      </c>
      <c r="H260" t="s">
        <v>117</v>
      </c>
      <c r="I260">
        <v>0.71203600304253001</v>
      </c>
      <c r="J260">
        <v>0.994563137427108</v>
      </c>
      <c r="K260">
        <v>3</v>
      </c>
      <c r="L260">
        <v>7</v>
      </c>
      <c r="M260">
        <v>457</v>
      </c>
      <c r="N260" t="s">
        <v>1364</v>
      </c>
      <c r="O260" t="s">
        <v>1392</v>
      </c>
      <c r="P260">
        <v>9982</v>
      </c>
      <c r="Q260">
        <v>5989</v>
      </c>
      <c r="R260" t="s">
        <v>1391</v>
      </c>
      <c r="S260" t="s">
        <v>1390</v>
      </c>
    </row>
    <row r="261" spans="1:19" x14ac:dyDescent="0.2">
      <c r="A261" t="s">
        <v>1389</v>
      </c>
      <c r="B261" t="s">
        <v>1386</v>
      </c>
      <c r="C261">
        <v>18</v>
      </c>
      <c r="D261" t="s">
        <v>363</v>
      </c>
      <c r="E261">
        <v>0</v>
      </c>
      <c r="F261" t="s">
        <v>1388</v>
      </c>
      <c r="G261" t="s">
        <v>118</v>
      </c>
      <c r="H261" t="s">
        <v>117</v>
      </c>
      <c r="I261">
        <v>0.97587934039860702</v>
      </c>
      <c r="J261">
        <v>0.99111211465587701</v>
      </c>
      <c r="K261">
        <v>7</v>
      </c>
      <c r="L261">
        <v>7</v>
      </c>
      <c r="M261">
        <v>426</v>
      </c>
      <c r="N261" t="s">
        <v>1364</v>
      </c>
      <c r="O261" t="s">
        <v>1384</v>
      </c>
      <c r="P261">
        <v>9983</v>
      </c>
      <c r="Q261">
        <v>5990</v>
      </c>
      <c r="R261" t="s">
        <v>1383</v>
      </c>
      <c r="S261" t="s">
        <v>1382</v>
      </c>
    </row>
    <row r="262" spans="1:19" x14ac:dyDescent="0.2">
      <c r="A262" t="s">
        <v>1381</v>
      </c>
      <c r="B262" t="s">
        <v>1380</v>
      </c>
      <c r="C262">
        <v>14</v>
      </c>
      <c r="D262" t="s">
        <v>388</v>
      </c>
      <c r="E262">
        <v>0</v>
      </c>
      <c r="F262" t="s">
        <v>1379</v>
      </c>
      <c r="G262" t="s">
        <v>229</v>
      </c>
      <c r="H262" t="s">
        <v>228</v>
      </c>
      <c r="M262">
        <v>772</v>
      </c>
      <c r="N262" t="s">
        <v>1364</v>
      </c>
      <c r="O262" t="s">
        <v>1378</v>
      </c>
      <c r="P262">
        <v>9984</v>
      </c>
      <c r="Q262">
        <v>5991</v>
      </c>
      <c r="R262" t="s">
        <v>1377</v>
      </c>
      <c r="S262" t="s">
        <v>1376</v>
      </c>
    </row>
    <row r="263" spans="1:19" x14ac:dyDescent="0.2">
      <c r="A263" t="s">
        <v>1369</v>
      </c>
      <c r="B263" t="s">
        <v>1366</v>
      </c>
      <c r="C263">
        <v>20</v>
      </c>
      <c r="D263" t="s">
        <v>363</v>
      </c>
      <c r="E263">
        <v>0</v>
      </c>
      <c r="F263" t="s">
        <v>1368</v>
      </c>
      <c r="G263" t="s">
        <v>118</v>
      </c>
      <c r="H263" t="s">
        <v>117</v>
      </c>
      <c r="I263">
        <v>0.97300379399067305</v>
      </c>
      <c r="K263">
        <v>14</v>
      </c>
      <c r="M263">
        <v>500</v>
      </c>
      <c r="N263" t="s">
        <v>1364</v>
      </c>
      <c r="O263" t="s">
        <v>1363</v>
      </c>
      <c r="P263">
        <v>9986</v>
      </c>
      <c r="Q263">
        <v>5993</v>
      </c>
      <c r="R263" t="s">
        <v>1362</v>
      </c>
      <c r="S263" t="s">
        <v>1361</v>
      </c>
    </row>
    <row r="264" spans="1:19" x14ac:dyDescent="0.2">
      <c r="A264" t="s">
        <v>1354</v>
      </c>
      <c r="B264" t="s">
        <v>1353</v>
      </c>
      <c r="C264">
        <v>13</v>
      </c>
      <c r="D264" t="s">
        <v>120</v>
      </c>
      <c r="E264">
        <v>0</v>
      </c>
      <c r="F264" t="s">
        <v>1352</v>
      </c>
      <c r="G264" t="s">
        <v>118</v>
      </c>
      <c r="H264" t="s">
        <v>117</v>
      </c>
      <c r="I264">
        <v>0.68181199032708695</v>
      </c>
      <c r="J264">
        <v>0.787508102301955</v>
      </c>
      <c r="K264">
        <v>2</v>
      </c>
      <c r="L264">
        <v>5</v>
      </c>
      <c r="M264">
        <v>500</v>
      </c>
      <c r="N264" t="s">
        <v>698</v>
      </c>
      <c r="O264" t="s">
        <v>1346</v>
      </c>
      <c r="P264">
        <v>10258</v>
      </c>
      <c r="Q264">
        <v>6095</v>
      </c>
      <c r="R264" t="s">
        <v>1351</v>
      </c>
      <c r="S264" t="s">
        <v>1350</v>
      </c>
    </row>
    <row r="265" spans="1:19" x14ac:dyDescent="0.2">
      <c r="A265" t="s">
        <v>1349</v>
      </c>
      <c r="B265" t="s">
        <v>1348</v>
      </c>
      <c r="C265">
        <v>12</v>
      </c>
      <c r="D265" t="s">
        <v>120</v>
      </c>
      <c r="E265">
        <v>0</v>
      </c>
      <c r="F265" t="s">
        <v>1347</v>
      </c>
      <c r="G265" t="s">
        <v>118</v>
      </c>
      <c r="H265" t="s">
        <v>117</v>
      </c>
      <c r="J265">
        <v>0.91023709793820295</v>
      </c>
      <c r="L265">
        <v>19</v>
      </c>
      <c r="M265">
        <v>500</v>
      </c>
      <c r="N265" t="s">
        <v>698</v>
      </c>
      <c r="O265" t="s">
        <v>1346</v>
      </c>
      <c r="P265">
        <v>10260</v>
      </c>
      <c r="Q265">
        <v>6097</v>
      </c>
      <c r="R265" t="s">
        <v>1345</v>
      </c>
      <c r="S265" t="s">
        <v>1344</v>
      </c>
    </row>
    <row r="266" spans="1:19" x14ac:dyDescent="0.2">
      <c r="A266" t="s">
        <v>1338</v>
      </c>
      <c r="B266" t="s">
        <v>1337</v>
      </c>
      <c r="C266">
        <v>11</v>
      </c>
      <c r="D266" t="s">
        <v>363</v>
      </c>
      <c r="E266">
        <v>0</v>
      </c>
      <c r="F266" t="s">
        <v>1336</v>
      </c>
      <c r="G266" t="s">
        <v>118</v>
      </c>
      <c r="H266" t="s">
        <v>117</v>
      </c>
      <c r="I266">
        <v>0.963722196419319</v>
      </c>
      <c r="J266">
        <v>0.982846694683017</v>
      </c>
      <c r="K266">
        <v>115</v>
      </c>
      <c r="L266">
        <v>63</v>
      </c>
      <c r="M266">
        <v>500</v>
      </c>
      <c r="N266" t="s">
        <v>1323</v>
      </c>
      <c r="O266" t="s">
        <v>1335</v>
      </c>
      <c r="P266">
        <v>10471</v>
      </c>
      <c r="Q266">
        <v>861</v>
      </c>
      <c r="R266" t="s">
        <v>1334</v>
      </c>
      <c r="S266" t="s">
        <v>1333</v>
      </c>
    </row>
    <row r="267" spans="1:19" x14ac:dyDescent="0.2">
      <c r="A267" t="s">
        <v>1332</v>
      </c>
      <c r="B267" t="s">
        <v>1331</v>
      </c>
      <c r="C267">
        <v>14</v>
      </c>
      <c r="D267" t="s">
        <v>363</v>
      </c>
      <c r="E267">
        <v>0</v>
      </c>
      <c r="F267" t="s">
        <v>1330</v>
      </c>
      <c r="G267" t="s">
        <v>118</v>
      </c>
      <c r="H267" t="s">
        <v>117</v>
      </c>
      <c r="I267">
        <v>0.96536924941102198</v>
      </c>
      <c r="J267">
        <v>0.89410286842202302</v>
      </c>
      <c r="K267">
        <v>3</v>
      </c>
      <c r="L267">
        <v>25</v>
      </c>
      <c r="M267">
        <v>502</v>
      </c>
      <c r="N267" t="s">
        <v>1323</v>
      </c>
      <c r="O267" t="s">
        <v>1329</v>
      </c>
      <c r="P267">
        <v>10472</v>
      </c>
      <c r="Q267">
        <v>860</v>
      </c>
      <c r="R267" t="s">
        <v>1328</v>
      </c>
      <c r="S267" t="s">
        <v>1327</v>
      </c>
    </row>
    <row r="268" spans="1:19" x14ac:dyDescent="0.2">
      <c r="A268" t="s">
        <v>1326</v>
      </c>
      <c r="B268" t="s">
        <v>1325</v>
      </c>
      <c r="C268">
        <v>10</v>
      </c>
      <c r="D268" t="s">
        <v>363</v>
      </c>
      <c r="E268">
        <v>0</v>
      </c>
      <c r="F268" t="s">
        <v>1324</v>
      </c>
      <c r="G268" t="s">
        <v>118</v>
      </c>
      <c r="H268" t="s">
        <v>117</v>
      </c>
      <c r="I268">
        <v>0.996789997885551</v>
      </c>
      <c r="J268">
        <v>0.96645115030555795</v>
      </c>
      <c r="K268">
        <v>2</v>
      </c>
      <c r="L268">
        <v>27</v>
      </c>
      <c r="M268">
        <v>500</v>
      </c>
      <c r="N268" t="s">
        <v>1323</v>
      </c>
      <c r="O268" t="s">
        <v>1322</v>
      </c>
      <c r="P268">
        <v>10473</v>
      </c>
      <c r="Q268">
        <v>864</v>
      </c>
      <c r="R268" t="s">
        <v>1321</v>
      </c>
      <c r="S268" t="s">
        <v>1320</v>
      </c>
    </row>
    <row r="269" spans="1:19" x14ac:dyDescent="0.2">
      <c r="A269" t="s">
        <v>1319</v>
      </c>
      <c r="B269" t="s">
        <v>1316</v>
      </c>
      <c r="C269">
        <v>20</v>
      </c>
      <c r="D269" t="s">
        <v>363</v>
      </c>
      <c r="E269">
        <v>0</v>
      </c>
      <c r="F269" t="s">
        <v>1318</v>
      </c>
      <c r="G269" t="s">
        <v>118</v>
      </c>
      <c r="H269" t="s">
        <v>117</v>
      </c>
      <c r="I269">
        <v>0.86732134679024697</v>
      </c>
      <c r="J269">
        <v>0.91621443460282304</v>
      </c>
      <c r="K269">
        <v>52</v>
      </c>
      <c r="L269">
        <v>158</v>
      </c>
      <c r="M269">
        <v>500</v>
      </c>
      <c r="N269" t="s">
        <v>1304</v>
      </c>
      <c r="O269" t="s">
        <v>1303</v>
      </c>
      <c r="P269">
        <v>10477</v>
      </c>
      <c r="Q269">
        <v>6256</v>
      </c>
      <c r="R269" t="s">
        <v>1314</v>
      </c>
      <c r="S269" t="s">
        <v>1313</v>
      </c>
    </row>
    <row r="270" spans="1:19" x14ac:dyDescent="0.2">
      <c r="A270" t="s">
        <v>1312</v>
      </c>
      <c r="B270" t="s">
        <v>1311</v>
      </c>
      <c r="C270">
        <v>10</v>
      </c>
      <c r="D270" t="s">
        <v>120</v>
      </c>
      <c r="E270">
        <v>0</v>
      </c>
      <c r="F270" t="s">
        <v>1310</v>
      </c>
      <c r="G270" t="s">
        <v>229</v>
      </c>
      <c r="H270" t="s">
        <v>228</v>
      </c>
      <c r="M270">
        <v>30</v>
      </c>
      <c r="N270" t="s">
        <v>1304</v>
      </c>
      <c r="O270" t="s">
        <v>1303</v>
      </c>
      <c r="P270">
        <v>10478</v>
      </c>
      <c r="Q270">
        <v>6257</v>
      </c>
      <c r="R270" t="s">
        <v>1309</v>
      </c>
      <c r="S270" t="s">
        <v>1308</v>
      </c>
    </row>
    <row r="271" spans="1:19" x14ac:dyDescent="0.2">
      <c r="A271" t="s">
        <v>1307</v>
      </c>
      <c r="B271" t="s">
        <v>1306</v>
      </c>
      <c r="C271">
        <v>13</v>
      </c>
      <c r="D271" t="s">
        <v>388</v>
      </c>
      <c r="E271">
        <v>0</v>
      </c>
      <c r="F271" t="s">
        <v>1305</v>
      </c>
      <c r="G271" t="s">
        <v>229</v>
      </c>
      <c r="H271" t="s">
        <v>228</v>
      </c>
      <c r="M271">
        <v>584</v>
      </c>
      <c r="N271" t="s">
        <v>1304</v>
      </c>
      <c r="O271" t="s">
        <v>1303</v>
      </c>
      <c r="P271">
        <v>10479</v>
      </c>
      <c r="Q271">
        <v>6258</v>
      </c>
      <c r="R271" t="s">
        <v>1302</v>
      </c>
      <c r="S271" t="s">
        <v>1301</v>
      </c>
    </row>
    <row r="272" spans="1:19" x14ac:dyDescent="0.2">
      <c r="A272" t="s">
        <v>1294</v>
      </c>
      <c r="B272" t="s">
        <v>1293</v>
      </c>
      <c r="C272">
        <v>10</v>
      </c>
      <c r="D272" t="s">
        <v>388</v>
      </c>
      <c r="E272">
        <v>0</v>
      </c>
      <c r="F272" t="s">
        <v>1292</v>
      </c>
      <c r="G272" t="s">
        <v>118</v>
      </c>
      <c r="H272" t="s">
        <v>117</v>
      </c>
      <c r="I272">
        <v>0.72389018686879503</v>
      </c>
      <c r="J272">
        <v>0.92380280202243303</v>
      </c>
      <c r="K272">
        <v>1</v>
      </c>
      <c r="L272">
        <v>21</v>
      </c>
      <c r="M272">
        <v>500</v>
      </c>
      <c r="N272" t="s">
        <v>137</v>
      </c>
      <c r="O272" t="s">
        <v>1291</v>
      </c>
      <c r="P272">
        <v>15924</v>
      </c>
      <c r="Q272">
        <v>57167</v>
      </c>
      <c r="R272" t="s">
        <v>1290</v>
      </c>
      <c r="S272" t="s">
        <v>1289</v>
      </c>
    </row>
    <row r="273" spans="1:19" x14ac:dyDescent="0.2">
      <c r="A273" t="s">
        <v>1268</v>
      </c>
      <c r="B273" t="s">
        <v>1267</v>
      </c>
      <c r="C273">
        <v>14</v>
      </c>
      <c r="D273" t="s">
        <v>363</v>
      </c>
      <c r="E273">
        <v>0</v>
      </c>
      <c r="F273" t="s">
        <v>1266</v>
      </c>
      <c r="G273" t="s">
        <v>118</v>
      </c>
      <c r="H273" t="s">
        <v>117</v>
      </c>
      <c r="I273">
        <v>0.96092364381056905</v>
      </c>
      <c r="K273">
        <v>6</v>
      </c>
      <c r="M273">
        <v>500</v>
      </c>
      <c r="N273" t="s">
        <v>1260</v>
      </c>
      <c r="O273" t="s">
        <v>1259</v>
      </c>
      <c r="P273">
        <v>10887</v>
      </c>
      <c r="Q273">
        <v>6495</v>
      </c>
      <c r="R273" t="s">
        <v>1265</v>
      </c>
      <c r="S273" t="s">
        <v>1264</v>
      </c>
    </row>
    <row r="274" spans="1:19" x14ac:dyDescent="0.2">
      <c r="A274" t="s">
        <v>1263</v>
      </c>
      <c r="B274" t="s">
        <v>1262</v>
      </c>
      <c r="C274">
        <v>13</v>
      </c>
      <c r="D274" t="s">
        <v>363</v>
      </c>
      <c r="E274">
        <v>0</v>
      </c>
      <c r="F274" t="s">
        <v>1261</v>
      </c>
      <c r="G274" t="s">
        <v>118</v>
      </c>
      <c r="H274" t="s">
        <v>117</v>
      </c>
      <c r="I274">
        <v>0.96829358848398195</v>
      </c>
      <c r="J274">
        <v>0.93673116710305704</v>
      </c>
      <c r="K274">
        <v>18</v>
      </c>
      <c r="L274">
        <v>9</v>
      </c>
      <c r="M274">
        <v>500</v>
      </c>
      <c r="N274" t="s">
        <v>1260</v>
      </c>
      <c r="O274" t="s">
        <v>1259</v>
      </c>
      <c r="P274">
        <v>10888</v>
      </c>
      <c r="Q274">
        <v>10736</v>
      </c>
      <c r="R274" t="s">
        <v>1258</v>
      </c>
      <c r="S274" t="s">
        <v>1257</v>
      </c>
    </row>
    <row r="275" spans="1:19" x14ac:dyDescent="0.2">
      <c r="A275" t="s">
        <v>1251</v>
      </c>
      <c r="B275" t="s">
        <v>1250</v>
      </c>
      <c r="C275">
        <v>12</v>
      </c>
      <c r="D275" t="s">
        <v>363</v>
      </c>
      <c r="E275">
        <v>0</v>
      </c>
      <c r="F275" t="s">
        <v>1249</v>
      </c>
      <c r="G275" t="s">
        <v>118</v>
      </c>
      <c r="H275" t="s">
        <v>117</v>
      </c>
      <c r="I275">
        <v>0.84777905882487203</v>
      </c>
      <c r="J275">
        <v>0.80802316731527002</v>
      </c>
      <c r="K275">
        <v>17</v>
      </c>
      <c r="L275">
        <v>26</v>
      </c>
      <c r="M275">
        <v>500</v>
      </c>
      <c r="N275" t="s">
        <v>1237</v>
      </c>
      <c r="O275" t="s">
        <v>1243</v>
      </c>
      <c r="P275">
        <v>6768</v>
      </c>
      <c r="Q275">
        <v>4087</v>
      </c>
      <c r="R275" t="s">
        <v>1248</v>
      </c>
      <c r="S275" t="s">
        <v>1247</v>
      </c>
    </row>
    <row r="276" spans="1:19" x14ac:dyDescent="0.2">
      <c r="A276" t="s">
        <v>1246</v>
      </c>
      <c r="B276" t="s">
        <v>1245</v>
      </c>
      <c r="C276">
        <v>12</v>
      </c>
      <c r="D276" t="s">
        <v>388</v>
      </c>
      <c r="E276">
        <v>0</v>
      </c>
      <c r="F276" t="s">
        <v>1244</v>
      </c>
      <c r="G276" t="s">
        <v>118</v>
      </c>
      <c r="H276" t="s">
        <v>117</v>
      </c>
      <c r="I276">
        <v>0.80642472645097696</v>
      </c>
      <c r="J276">
        <v>0.70653318999007897</v>
      </c>
      <c r="K276">
        <v>34</v>
      </c>
      <c r="L276">
        <v>30</v>
      </c>
      <c r="M276">
        <v>500</v>
      </c>
      <c r="N276" t="s">
        <v>1237</v>
      </c>
      <c r="O276" t="s">
        <v>1243</v>
      </c>
      <c r="P276">
        <v>6769</v>
      </c>
      <c r="Q276">
        <v>4088</v>
      </c>
      <c r="R276" t="s">
        <v>1242</v>
      </c>
      <c r="S276" t="s">
        <v>1241</v>
      </c>
    </row>
    <row r="277" spans="1:19" x14ac:dyDescent="0.2">
      <c r="A277" t="s">
        <v>1240</v>
      </c>
      <c r="B277" t="s">
        <v>1239</v>
      </c>
      <c r="C277">
        <v>13</v>
      </c>
      <c r="D277" t="s">
        <v>388</v>
      </c>
      <c r="E277">
        <v>0</v>
      </c>
      <c r="F277" t="s">
        <v>1238</v>
      </c>
      <c r="G277" t="s">
        <v>118</v>
      </c>
      <c r="H277" t="s">
        <v>117</v>
      </c>
      <c r="I277">
        <v>0.86932316855647296</v>
      </c>
      <c r="J277">
        <v>0.67139283719058596</v>
      </c>
      <c r="K277">
        <v>24</v>
      </c>
      <c r="L277">
        <v>3</v>
      </c>
      <c r="M277">
        <v>497</v>
      </c>
      <c r="N277" t="s">
        <v>1237</v>
      </c>
      <c r="O277" t="s">
        <v>1236</v>
      </c>
      <c r="P277">
        <v>6770</v>
      </c>
      <c r="Q277">
        <v>4089</v>
      </c>
      <c r="R277" t="s">
        <v>1235</v>
      </c>
      <c r="S277" t="s">
        <v>1234</v>
      </c>
    </row>
    <row r="278" spans="1:19" x14ac:dyDescent="0.2">
      <c r="A278" t="s">
        <v>1233</v>
      </c>
      <c r="B278" t="s">
        <v>48</v>
      </c>
      <c r="C278">
        <v>12</v>
      </c>
      <c r="D278" t="s">
        <v>120</v>
      </c>
      <c r="E278">
        <v>0</v>
      </c>
      <c r="F278" t="s">
        <v>1232</v>
      </c>
      <c r="G278" t="s">
        <v>118</v>
      </c>
      <c r="H278" t="s">
        <v>117</v>
      </c>
      <c r="I278">
        <v>0.91237938467355895</v>
      </c>
      <c r="K278">
        <v>3</v>
      </c>
      <c r="M278">
        <v>442</v>
      </c>
      <c r="N278" t="s">
        <v>1226</v>
      </c>
      <c r="O278" t="s">
        <v>1225</v>
      </c>
      <c r="P278">
        <v>11097</v>
      </c>
      <c r="Q278">
        <v>6594</v>
      </c>
      <c r="R278" t="s">
        <v>1231</v>
      </c>
      <c r="S278" t="s">
        <v>1230</v>
      </c>
    </row>
    <row r="279" spans="1:19" x14ac:dyDescent="0.2">
      <c r="A279" t="s">
        <v>1229</v>
      </c>
      <c r="B279" t="s">
        <v>1228</v>
      </c>
      <c r="C279">
        <v>15</v>
      </c>
      <c r="D279" t="s">
        <v>120</v>
      </c>
      <c r="E279">
        <v>0</v>
      </c>
      <c r="F279" t="s">
        <v>1227</v>
      </c>
      <c r="G279" t="s">
        <v>118</v>
      </c>
      <c r="H279" t="s">
        <v>117</v>
      </c>
      <c r="I279">
        <v>0.80501897753353202</v>
      </c>
      <c r="J279">
        <v>0.56463028007042104</v>
      </c>
      <c r="K279">
        <v>3</v>
      </c>
      <c r="L279">
        <v>2</v>
      </c>
      <c r="M279">
        <v>410</v>
      </c>
      <c r="N279" t="s">
        <v>1226</v>
      </c>
      <c r="O279" t="s">
        <v>1225</v>
      </c>
      <c r="P279">
        <v>11101</v>
      </c>
      <c r="Q279">
        <v>8467</v>
      </c>
      <c r="R279" t="s">
        <v>1224</v>
      </c>
      <c r="S279" t="s">
        <v>1223</v>
      </c>
    </row>
    <row r="280" spans="1:19" x14ac:dyDescent="0.2">
      <c r="A280" t="s">
        <v>1222</v>
      </c>
      <c r="B280" t="s">
        <v>1221</v>
      </c>
      <c r="C280">
        <v>8</v>
      </c>
      <c r="D280" t="s">
        <v>120</v>
      </c>
      <c r="E280">
        <v>0</v>
      </c>
      <c r="F280" t="s">
        <v>1220</v>
      </c>
      <c r="G280" t="s">
        <v>229</v>
      </c>
      <c r="H280" t="s">
        <v>228</v>
      </c>
      <c r="M280">
        <v>5</v>
      </c>
      <c r="N280" t="s">
        <v>107</v>
      </c>
      <c r="O280" t="s">
        <v>1214</v>
      </c>
      <c r="P280">
        <v>11128</v>
      </c>
      <c r="Q280">
        <v>6615</v>
      </c>
      <c r="R280" t="s">
        <v>1219</v>
      </c>
      <c r="S280" t="s">
        <v>1218</v>
      </c>
    </row>
    <row r="281" spans="1:19" x14ac:dyDescent="0.2">
      <c r="A281" t="s">
        <v>1217</v>
      </c>
      <c r="B281" t="s">
        <v>1216</v>
      </c>
      <c r="C281">
        <v>10</v>
      </c>
      <c r="D281" t="s">
        <v>363</v>
      </c>
      <c r="E281">
        <v>0</v>
      </c>
      <c r="F281" t="s">
        <v>1215</v>
      </c>
      <c r="G281" t="s">
        <v>118</v>
      </c>
      <c r="H281" t="s">
        <v>117</v>
      </c>
      <c r="I281">
        <v>0.98303525700521399</v>
      </c>
      <c r="J281">
        <v>0.84040131813950603</v>
      </c>
      <c r="K281">
        <v>11</v>
      </c>
      <c r="L281">
        <v>3</v>
      </c>
      <c r="M281">
        <v>500</v>
      </c>
      <c r="N281" t="s">
        <v>107</v>
      </c>
      <c r="O281" t="s">
        <v>1214</v>
      </c>
      <c r="P281">
        <v>11094</v>
      </c>
      <c r="Q281">
        <v>6591</v>
      </c>
      <c r="R281" t="s">
        <v>1213</v>
      </c>
      <c r="S281" t="s">
        <v>1212</v>
      </c>
    </row>
    <row r="282" spans="1:19" x14ac:dyDescent="0.2">
      <c r="A282" t="s">
        <v>1211</v>
      </c>
      <c r="B282" t="s">
        <v>1208</v>
      </c>
      <c r="C282">
        <v>16</v>
      </c>
      <c r="D282" t="s">
        <v>388</v>
      </c>
      <c r="E282">
        <v>0</v>
      </c>
      <c r="F282" t="s">
        <v>1210</v>
      </c>
      <c r="G282" t="s">
        <v>118</v>
      </c>
      <c r="H282" t="s">
        <v>117</v>
      </c>
      <c r="I282">
        <v>0.91038562372058696</v>
      </c>
      <c r="J282">
        <v>0.76320365913255805</v>
      </c>
      <c r="K282">
        <v>3</v>
      </c>
      <c r="L282">
        <v>3</v>
      </c>
      <c r="M282">
        <v>500</v>
      </c>
      <c r="N282" t="s">
        <v>1049</v>
      </c>
      <c r="O282" t="s">
        <v>1128</v>
      </c>
      <c r="P282">
        <v>11190</v>
      </c>
      <c r="Q282">
        <v>6663</v>
      </c>
      <c r="R282" t="s">
        <v>1206</v>
      </c>
      <c r="S282" t="s">
        <v>1205</v>
      </c>
    </row>
    <row r="283" spans="1:19" x14ac:dyDescent="0.2">
      <c r="A283" t="s">
        <v>1188</v>
      </c>
      <c r="B283" t="s">
        <v>1187</v>
      </c>
      <c r="C283">
        <v>11</v>
      </c>
      <c r="D283" t="s">
        <v>120</v>
      </c>
      <c r="E283">
        <v>0</v>
      </c>
      <c r="F283" t="s">
        <v>1186</v>
      </c>
      <c r="G283" t="s">
        <v>118</v>
      </c>
      <c r="H283" t="s">
        <v>117</v>
      </c>
      <c r="I283">
        <v>0.83477396273028703</v>
      </c>
      <c r="K283">
        <v>4</v>
      </c>
      <c r="M283">
        <v>500</v>
      </c>
      <c r="N283" t="s">
        <v>1049</v>
      </c>
      <c r="O283" t="s">
        <v>1141</v>
      </c>
      <c r="P283">
        <v>18122</v>
      </c>
      <c r="Q283">
        <v>64321</v>
      </c>
      <c r="R283" t="s">
        <v>1185</v>
      </c>
      <c r="S283" t="s">
        <v>1184</v>
      </c>
    </row>
    <row r="284" spans="1:19" x14ac:dyDescent="0.2">
      <c r="A284" t="s">
        <v>1168</v>
      </c>
      <c r="B284" t="s">
        <v>1165</v>
      </c>
      <c r="C284">
        <v>13</v>
      </c>
      <c r="D284" t="s">
        <v>363</v>
      </c>
      <c r="E284">
        <v>0</v>
      </c>
      <c r="F284" t="s">
        <v>1167</v>
      </c>
      <c r="G284" t="s">
        <v>118</v>
      </c>
      <c r="H284" t="s">
        <v>117</v>
      </c>
      <c r="I284">
        <v>0.94424154853908704</v>
      </c>
      <c r="J284">
        <v>0.92175992814996799</v>
      </c>
      <c r="K284">
        <v>67</v>
      </c>
      <c r="L284">
        <v>109</v>
      </c>
      <c r="M284">
        <v>500</v>
      </c>
      <c r="N284" t="s">
        <v>1049</v>
      </c>
      <c r="O284" t="s">
        <v>1158</v>
      </c>
      <c r="P284">
        <v>11195</v>
      </c>
      <c r="Q284">
        <v>6657</v>
      </c>
      <c r="R284" t="s">
        <v>1163</v>
      </c>
      <c r="S284" t="s">
        <v>1162</v>
      </c>
    </row>
    <row r="285" spans="1:19" x14ac:dyDescent="0.2">
      <c r="A285" t="s">
        <v>1161</v>
      </c>
      <c r="B285" t="s">
        <v>1160</v>
      </c>
      <c r="C285">
        <v>11</v>
      </c>
      <c r="D285" t="s">
        <v>388</v>
      </c>
      <c r="E285">
        <v>0</v>
      </c>
      <c r="F285" t="s">
        <v>1159</v>
      </c>
      <c r="G285" t="s">
        <v>118</v>
      </c>
      <c r="H285" t="s">
        <v>117</v>
      </c>
      <c r="I285">
        <v>0.71692116174050202</v>
      </c>
      <c r="J285">
        <v>0.88243897562016604</v>
      </c>
      <c r="K285">
        <v>2</v>
      </c>
      <c r="L285">
        <v>4</v>
      </c>
      <c r="M285">
        <v>500</v>
      </c>
      <c r="N285" t="s">
        <v>1049</v>
      </c>
      <c r="O285" t="s">
        <v>1158</v>
      </c>
      <c r="P285">
        <v>11199</v>
      </c>
      <c r="Q285">
        <v>6658</v>
      </c>
      <c r="R285" t="s">
        <v>1157</v>
      </c>
      <c r="S285" t="s">
        <v>1156</v>
      </c>
    </row>
    <row r="286" spans="1:19" x14ac:dyDescent="0.2">
      <c r="A286" t="s">
        <v>1155</v>
      </c>
      <c r="B286" t="s">
        <v>11</v>
      </c>
      <c r="C286">
        <v>12</v>
      </c>
      <c r="D286" t="s">
        <v>388</v>
      </c>
      <c r="E286">
        <v>0</v>
      </c>
      <c r="F286" t="s">
        <v>1154</v>
      </c>
      <c r="G286" t="s">
        <v>118</v>
      </c>
      <c r="H286" t="s">
        <v>117</v>
      </c>
      <c r="I286">
        <v>0.63961473832043803</v>
      </c>
      <c r="J286">
        <v>0.978319052740521</v>
      </c>
      <c r="K286">
        <v>2</v>
      </c>
      <c r="L286">
        <v>7</v>
      </c>
      <c r="M286">
        <v>500</v>
      </c>
      <c r="N286" t="s">
        <v>1049</v>
      </c>
      <c r="O286" t="s">
        <v>1153</v>
      </c>
      <c r="P286">
        <v>11200</v>
      </c>
      <c r="Q286">
        <v>6659</v>
      </c>
      <c r="R286" t="s">
        <v>1152</v>
      </c>
      <c r="S286" t="s">
        <v>1151</v>
      </c>
    </row>
    <row r="287" spans="1:19" x14ac:dyDescent="0.2">
      <c r="A287" t="s">
        <v>1150</v>
      </c>
      <c r="B287" t="s">
        <v>1149</v>
      </c>
      <c r="C287">
        <v>8</v>
      </c>
      <c r="D287" t="s">
        <v>120</v>
      </c>
      <c r="E287">
        <v>0</v>
      </c>
      <c r="F287" t="s">
        <v>1148</v>
      </c>
      <c r="G287" t="s">
        <v>229</v>
      </c>
      <c r="H287" t="s">
        <v>228</v>
      </c>
      <c r="M287">
        <v>69</v>
      </c>
      <c r="N287" t="s">
        <v>1049</v>
      </c>
      <c r="O287" t="s">
        <v>1147</v>
      </c>
      <c r="P287">
        <v>11201</v>
      </c>
      <c r="Q287">
        <v>6660</v>
      </c>
      <c r="R287" t="s">
        <v>1146</v>
      </c>
      <c r="S287" t="s">
        <v>1145</v>
      </c>
    </row>
    <row r="288" spans="1:19" x14ac:dyDescent="0.2">
      <c r="A288" t="s">
        <v>1133</v>
      </c>
      <c r="B288" t="s">
        <v>1130</v>
      </c>
      <c r="C288">
        <v>16</v>
      </c>
      <c r="D288" t="s">
        <v>388</v>
      </c>
      <c r="E288">
        <v>0</v>
      </c>
      <c r="F288" t="s">
        <v>1132</v>
      </c>
      <c r="G288" t="s">
        <v>118</v>
      </c>
      <c r="H288" t="s">
        <v>117</v>
      </c>
      <c r="I288">
        <v>0.71811835875757701</v>
      </c>
      <c r="J288">
        <v>0.981473816259399</v>
      </c>
      <c r="K288">
        <v>6</v>
      </c>
      <c r="L288">
        <v>25</v>
      </c>
      <c r="M288">
        <v>500</v>
      </c>
      <c r="N288" t="s">
        <v>1049</v>
      </c>
      <c r="O288" t="s">
        <v>1128</v>
      </c>
      <c r="P288">
        <v>11204</v>
      </c>
      <c r="Q288">
        <v>6662</v>
      </c>
      <c r="R288" t="s">
        <v>1127</v>
      </c>
      <c r="S288" t="s">
        <v>1126</v>
      </c>
    </row>
    <row r="289" spans="1:19" x14ac:dyDescent="0.2">
      <c r="A289" t="s">
        <v>1125</v>
      </c>
      <c r="B289" t="s">
        <v>1122</v>
      </c>
      <c r="C289">
        <v>22</v>
      </c>
      <c r="D289" t="s">
        <v>363</v>
      </c>
      <c r="E289">
        <v>0</v>
      </c>
      <c r="F289" t="s">
        <v>1124</v>
      </c>
      <c r="G289" t="s">
        <v>118</v>
      </c>
      <c r="H289" t="s">
        <v>117</v>
      </c>
      <c r="I289">
        <v>0.99973798274773096</v>
      </c>
      <c r="J289">
        <v>0.95687862413142399</v>
      </c>
      <c r="K289">
        <v>53</v>
      </c>
      <c r="L289">
        <v>11</v>
      </c>
      <c r="M289">
        <v>499</v>
      </c>
      <c r="N289" t="s">
        <v>1101</v>
      </c>
      <c r="O289" t="s">
        <v>1100</v>
      </c>
      <c r="P289">
        <v>11205</v>
      </c>
      <c r="Q289">
        <v>6667</v>
      </c>
      <c r="R289" t="s">
        <v>1120</v>
      </c>
      <c r="S289" t="s">
        <v>1119</v>
      </c>
    </row>
    <row r="290" spans="1:19" x14ac:dyDescent="0.2">
      <c r="A290" t="s">
        <v>1118</v>
      </c>
      <c r="B290" t="s">
        <v>1115</v>
      </c>
      <c r="C290">
        <v>22</v>
      </c>
      <c r="D290" t="s">
        <v>363</v>
      </c>
      <c r="E290">
        <v>0</v>
      </c>
      <c r="F290" t="s">
        <v>1117</v>
      </c>
      <c r="G290" t="s">
        <v>109</v>
      </c>
      <c r="H290" t="s">
        <v>117</v>
      </c>
      <c r="I290">
        <v>0.97199002100958098</v>
      </c>
      <c r="K290">
        <v>16</v>
      </c>
      <c r="M290">
        <v>499</v>
      </c>
      <c r="N290" t="s">
        <v>1101</v>
      </c>
      <c r="O290" t="s">
        <v>1100</v>
      </c>
      <c r="P290">
        <v>11207</v>
      </c>
      <c r="Q290">
        <v>6668</v>
      </c>
      <c r="R290" t="s">
        <v>1113</v>
      </c>
      <c r="S290" t="s">
        <v>1112</v>
      </c>
    </row>
    <row r="291" spans="1:19" x14ac:dyDescent="0.2">
      <c r="A291" t="s">
        <v>1111</v>
      </c>
      <c r="B291" t="s">
        <v>1110</v>
      </c>
      <c r="C291">
        <v>20</v>
      </c>
      <c r="D291" t="s">
        <v>388</v>
      </c>
      <c r="E291">
        <v>0</v>
      </c>
      <c r="F291" t="s">
        <v>1109</v>
      </c>
      <c r="G291" t="s">
        <v>229</v>
      </c>
      <c r="H291" t="s">
        <v>228</v>
      </c>
      <c r="M291">
        <v>415</v>
      </c>
      <c r="N291" t="s">
        <v>1101</v>
      </c>
      <c r="O291" t="s">
        <v>1100</v>
      </c>
      <c r="P291">
        <v>11208</v>
      </c>
      <c r="Q291">
        <v>6670</v>
      </c>
      <c r="R291" t="s">
        <v>1108</v>
      </c>
      <c r="S291" t="s">
        <v>1107</v>
      </c>
    </row>
    <row r="292" spans="1:19" x14ac:dyDescent="0.2">
      <c r="A292" t="s">
        <v>1106</v>
      </c>
      <c r="B292" t="s">
        <v>1103</v>
      </c>
      <c r="C292">
        <v>20</v>
      </c>
      <c r="D292" t="s">
        <v>363</v>
      </c>
      <c r="E292">
        <v>0</v>
      </c>
      <c r="F292" t="s">
        <v>1105</v>
      </c>
      <c r="G292" t="s">
        <v>118</v>
      </c>
      <c r="H292" t="s">
        <v>117</v>
      </c>
      <c r="I292">
        <v>0.98348548251109702</v>
      </c>
      <c r="K292">
        <v>5</v>
      </c>
      <c r="M292">
        <v>499</v>
      </c>
      <c r="N292" t="s">
        <v>1101</v>
      </c>
      <c r="O292" t="s">
        <v>1100</v>
      </c>
      <c r="P292">
        <v>11209</v>
      </c>
      <c r="Q292">
        <v>6671</v>
      </c>
      <c r="R292" t="s">
        <v>1099</v>
      </c>
      <c r="S292" t="s">
        <v>1098</v>
      </c>
    </row>
    <row r="293" spans="1:19" x14ac:dyDescent="0.2">
      <c r="A293" t="s">
        <v>1091</v>
      </c>
      <c r="B293" t="s">
        <v>1090</v>
      </c>
      <c r="C293">
        <v>17</v>
      </c>
      <c r="D293" t="s">
        <v>363</v>
      </c>
      <c r="E293">
        <v>0</v>
      </c>
      <c r="F293" t="s">
        <v>1089</v>
      </c>
      <c r="G293" t="s">
        <v>118</v>
      </c>
      <c r="H293" t="s">
        <v>117</v>
      </c>
      <c r="I293">
        <v>0.99878959654896404</v>
      </c>
      <c r="J293">
        <v>0.996886185134224</v>
      </c>
      <c r="K293">
        <v>80</v>
      </c>
      <c r="L293">
        <v>204</v>
      </c>
      <c r="M293">
        <v>500</v>
      </c>
      <c r="N293" t="s">
        <v>1078</v>
      </c>
      <c r="O293" t="s">
        <v>1077</v>
      </c>
      <c r="P293">
        <v>11241</v>
      </c>
      <c r="Q293">
        <v>6688</v>
      </c>
      <c r="R293" t="s">
        <v>1088</v>
      </c>
      <c r="S293" t="s">
        <v>1087</v>
      </c>
    </row>
    <row r="294" spans="1:19" x14ac:dyDescent="0.2">
      <c r="A294" t="s">
        <v>1086</v>
      </c>
      <c r="B294" t="s">
        <v>1085</v>
      </c>
      <c r="C294">
        <v>17</v>
      </c>
      <c r="D294" t="s">
        <v>363</v>
      </c>
      <c r="E294">
        <v>0</v>
      </c>
      <c r="F294" t="s">
        <v>1084</v>
      </c>
      <c r="G294" t="s">
        <v>118</v>
      </c>
      <c r="H294" t="s">
        <v>117</v>
      </c>
      <c r="I294">
        <v>0.99791465013979996</v>
      </c>
      <c r="J294">
        <v>0.94892633830559003</v>
      </c>
      <c r="K294">
        <v>12</v>
      </c>
      <c r="L294">
        <v>3</v>
      </c>
      <c r="M294">
        <v>500</v>
      </c>
      <c r="N294" t="s">
        <v>1078</v>
      </c>
      <c r="O294" t="s">
        <v>1077</v>
      </c>
      <c r="P294">
        <v>11242</v>
      </c>
      <c r="Q294">
        <v>6689</v>
      </c>
      <c r="R294" t="s">
        <v>1083</v>
      </c>
      <c r="S294" t="s">
        <v>1082</v>
      </c>
    </row>
    <row r="295" spans="1:19" x14ac:dyDescent="0.2">
      <c r="A295" t="s">
        <v>1069</v>
      </c>
      <c r="B295" t="s">
        <v>1068</v>
      </c>
      <c r="C295">
        <v>11</v>
      </c>
      <c r="D295" t="s">
        <v>363</v>
      </c>
      <c r="E295">
        <v>0</v>
      </c>
      <c r="F295" t="s">
        <v>1067</v>
      </c>
      <c r="G295" t="s">
        <v>118</v>
      </c>
      <c r="H295" t="s">
        <v>117</v>
      </c>
      <c r="I295">
        <v>0.92047688500304603</v>
      </c>
      <c r="J295">
        <v>0.66959292314329999</v>
      </c>
      <c r="K295">
        <v>5</v>
      </c>
      <c r="L295">
        <v>23</v>
      </c>
      <c r="M295">
        <v>500</v>
      </c>
      <c r="N295" t="s">
        <v>718</v>
      </c>
      <c r="O295" t="s">
        <v>1062</v>
      </c>
      <c r="P295">
        <v>11289</v>
      </c>
      <c r="Q295">
        <v>6720</v>
      </c>
      <c r="R295" t="s">
        <v>1066</v>
      </c>
      <c r="S295" t="s">
        <v>1065</v>
      </c>
    </row>
    <row r="296" spans="1:19" x14ac:dyDescent="0.2">
      <c r="A296" t="s">
        <v>1064</v>
      </c>
      <c r="B296" t="s">
        <v>85</v>
      </c>
      <c r="C296">
        <v>13</v>
      </c>
      <c r="D296" t="s">
        <v>388</v>
      </c>
      <c r="E296">
        <v>0</v>
      </c>
      <c r="F296" t="s">
        <v>1063</v>
      </c>
      <c r="G296" t="s">
        <v>229</v>
      </c>
      <c r="H296" t="s">
        <v>228</v>
      </c>
      <c r="M296">
        <v>2363</v>
      </c>
      <c r="N296" t="s">
        <v>718</v>
      </c>
      <c r="O296" t="s">
        <v>1062</v>
      </c>
      <c r="P296">
        <v>11290</v>
      </c>
      <c r="Q296">
        <v>6721</v>
      </c>
      <c r="R296" t="s">
        <v>1061</v>
      </c>
      <c r="S296" t="s">
        <v>1060</v>
      </c>
    </row>
    <row r="297" spans="1:19" x14ac:dyDescent="0.2">
      <c r="A297" t="s">
        <v>1059</v>
      </c>
      <c r="B297" t="s">
        <v>1058</v>
      </c>
      <c r="C297">
        <v>18</v>
      </c>
      <c r="D297" t="s">
        <v>363</v>
      </c>
      <c r="E297">
        <v>0</v>
      </c>
      <c r="F297" t="s">
        <v>1057</v>
      </c>
      <c r="G297" t="s">
        <v>118</v>
      </c>
      <c r="H297" t="s">
        <v>117</v>
      </c>
      <c r="I297">
        <v>0.95596233997575297</v>
      </c>
      <c r="J297">
        <v>0.97919249657190999</v>
      </c>
      <c r="K297">
        <v>46</v>
      </c>
      <c r="L297">
        <v>37</v>
      </c>
      <c r="M297">
        <v>131</v>
      </c>
      <c r="N297" t="s">
        <v>1056</v>
      </c>
      <c r="O297" t="s">
        <v>1055</v>
      </c>
      <c r="P297">
        <v>11291</v>
      </c>
      <c r="Q297">
        <v>6722</v>
      </c>
      <c r="R297" t="s">
        <v>1054</v>
      </c>
      <c r="S297" t="s">
        <v>1053</v>
      </c>
    </row>
    <row r="298" spans="1:19" x14ac:dyDescent="0.2">
      <c r="A298" t="s">
        <v>1052</v>
      </c>
      <c r="B298" t="s">
        <v>1051</v>
      </c>
      <c r="C298">
        <v>9</v>
      </c>
      <c r="D298" t="s">
        <v>388</v>
      </c>
      <c r="E298">
        <v>0</v>
      </c>
      <c r="F298" t="s">
        <v>1050</v>
      </c>
      <c r="G298" t="s">
        <v>229</v>
      </c>
      <c r="H298" t="s">
        <v>228</v>
      </c>
      <c r="M298">
        <v>108</v>
      </c>
      <c r="N298" t="s">
        <v>1049</v>
      </c>
      <c r="O298" t="s">
        <v>1048</v>
      </c>
      <c r="P298">
        <v>11311</v>
      </c>
      <c r="Q298">
        <v>6736</v>
      </c>
      <c r="R298" t="s">
        <v>1047</v>
      </c>
      <c r="S298" t="s">
        <v>1046</v>
      </c>
    </row>
    <row r="299" spans="1:19" x14ac:dyDescent="0.2">
      <c r="A299" t="s">
        <v>1045</v>
      </c>
      <c r="B299" t="s">
        <v>1044</v>
      </c>
      <c r="C299">
        <v>10</v>
      </c>
      <c r="D299" t="s">
        <v>363</v>
      </c>
      <c r="E299">
        <v>0</v>
      </c>
      <c r="F299" t="s">
        <v>1043</v>
      </c>
      <c r="G299" t="s">
        <v>118</v>
      </c>
      <c r="H299" t="s">
        <v>117</v>
      </c>
      <c r="I299">
        <v>0.93196275528984995</v>
      </c>
      <c r="J299">
        <v>0.99154411411829202</v>
      </c>
      <c r="K299">
        <v>24</v>
      </c>
      <c r="L299">
        <v>127</v>
      </c>
      <c r="M299">
        <v>500</v>
      </c>
      <c r="N299" t="s">
        <v>1004</v>
      </c>
      <c r="O299" t="s">
        <v>1042</v>
      </c>
      <c r="P299">
        <v>11366</v>
      </c>
      <c r="Q299">
        <v>6776</v>
      </c>
      <c r="R299" t="s">
        <v>1041</v>
      </c>
      <c r="S299" t="s">
        <v>1040</v>
      </c>
    </row>
    <row r="300" spans="1:19" x14ac:dyDescent="0.2">
      <c r="A300" t="s">
        <v>1039</v>
      </c>
      <c r="B300" t="s">
        <v>1038</v>
      </c>
      <c r="C300">
        <v>12</v>
      </c>
      <c r="D300" t="s">
        <v>363</v>
      </c>
      <c r="E300">
        <v>0</v>
      </c>
      <c r="F300" t="s">
        <v>1037</v>
      </c>
      <c r="G300" t="s">
        <v>118</v>
      </c>
      <c r="H300" t="s">
        <v>117</v>
      </c>
      <c r="I300">
        <v>0.96500761773858801</v>
      </c>
      <c r="J300">
        <v>0.95702218602133204</v>
      </c>
      <c r="K300">
        <v>16</v>
      </c>
      <c r="L300">
        <v>31</v>
      </c>
      <c r="M300">
        <v>501</v>
      </c>
      <c r="N300" t="s">
        <v>1004</v>
      </c>
      <c r="O300" t="s">
        <v>1036</v>
      </c>
      <c r="P300">
        <v>11367</v>
      </c>
      <c r="Q300">
        <v>6777</v>
      </c>
      <c r="R300" t="s">
        <v>1035</v>
      </c>
      <c r="S300" t="s">
        <v>1034</v>
      </c>
    </row>
    <row r="301" spans="1:19" x14ac:dyDescent="0.2">
      <c r="A301" t="s">
        <v>1033</v>
      </c>
      <c r="B301" t="s">
        <v>1030</v>
      </c>
      <c r="C301">
        <v>19</v>
      </c>
      <c r="D301" t="s">
        <v>363</v>
      </c>
      <c r="E301">
        <v>0</v>
      </c>
      <c r="F301" t="s">
        <v>1032</v>
      </c>
      <c r="G301" t="s">
        <v>118</v>
      </c>
      <c r="H301" t="s">
        <v>117</v>
      </c>
      <c r="I301">
        <v>0.98674064758550295</v>
      </c>
      <c r="J301">
        <v>0.91029275740718996</v>
      </c>
      <c r="K301">
        <v>37</v>
      </c>
      <c r="L301">
        <v>128</v>
      </c>
      <c r="M301">
        <v>500</v>
      </c>
      <c r="N301" t="s">
        <v>1004</v>
      </c>
      <c r="O301" t="s">
        <v>1028</v>
      </c>
      <c r="P301">
        <v>11362</v>
      </c>
      <c r="Q301">
        <v>6772</v>
      </c>
      <c r="R301" t="s">
        <v>1027</v>
      </c>
      <c r="S301" t="s">
        <v>1026</v>
      </c>
    </row>
    <row r="302" spans="1:19" x14ac:dyDescent="0.2">
      <c r="A302" t="s">
        <v>1025</v>
      </c>
      <c r="B302" t="s">
        <v>1024</v>
      </c>
      <c r="C302">
        <v>19</v>
      </c>
      <c r="D302" t="s">
        <v>363</v>
      </c>
      <c r="E302">
        <v>0</v>
      </c>
      <c r="F302" t="s">
        <v>1023</v>
      </c>
      <c r="G302" t="s">
        <v>118</v>
      </c>
      <c r="H302" t="s">
        <v>117</v>
      </c>
      <c r="I302">
        <v>0.97964097359035596</v>
      </c>
      <c r="J302">
        <v>0.99418938033356996</v>
      </c>
      <c r="K302">
        <v>11</v>
      </c>
      <c r="L302">
        <v>8</v>
      </c>
      <c r="M302">
        <v>500</v>
      </c>
      <c r="N302" t="s">
        <v>1004</v>
      </c>
      <c r="O302" t="s">
        <v>1022</v>
      </c>
      <c r="P302">
        <v>11363</v>
      </c>
      <c r="Q302">
        <v>6773</v>
      </c>
      <c r="R302" t="s">
        <v>1021</v>
      </c>
      <c r="S302" t="s">
        <v>1020</v>
      </c>
    </row>
    <row r="303" spans="1:19" x14ac:dyDescent="0.2">
      <c r="A303" t="s">
        <v>1019</v>
      </c>
      <c r="B303" t="s">
        <v>1018</v>
      </c>
      <c r="C303">
        <v>12</v>
      </c>
      <c r="D303" t="s">
        <v>363</v>
      </c>
      <c r="E303">
        <v>0</v>
      </c>
      <c r="F303" t="s">
        <v>1017</v>
      </c>
      <c r="G303" t="s">
        <v>118</v>
      </c>
      <c r="H303" t="s">
        <v>117</v>
      </c>
      <c r="I303">
        <v>0.95266664856225702</v>
      </c>
      <c r="J303">
        <v>0.94912351931689998</v>
      </c>
      <c r="K303">
        <v>36</v>
      </c>
      <c r="L303">
        <v>82</v>
      </c>
      <c r="M303">
        <v>500</v>
      </c>
      <c r="N303" t="s">
        <v>1004</v>
      </c>
      <c r="O303" t="s">
        <v>1016</v>
      </c>
      <c r="P303">
        <v>11364</v>
      </c>
      <c r="Q303">
        <v>6774</v>
      </c>
      <c r="R303" t="s">
        <v>1015</v>
      </c>
      <c r="S303" t="s">
        <v>1014</v>
      </c>
    </row>
    <row r="304" spans="1:19" x14ac:dyDescent="0.2">
      <c r="A304" t="s">
        <v>1013</v>
      </c>
      <c r="B304" t="s">
        <v>1012</v>
      </c>
      <c r="C304">
        <v>11</v>
      </c>
      <c r="D304" t="s">
        <v>363</v>
      </c>
      <c r="E304">
        <v>0</v>
      </c>
      <c r="F304" t="s">
        <v>1011</v>
      </c>
      <c r="G304" t="s">
        <v>118</v>
      </c>
      <c r="H304" t="s">
        <v>117</v>
      </c>
      <c r="I304">
        <v>0.93457709325282101</v>
      </c>
      <c r="J304">
        <v>0.88701000591293799</v>
      </c>
      <c r="K304">
        <v>7</v>
      </c>
      <c r="L304">
        <v>10</v>
      </c>
      <c r="M304">
        <v>500</v>
      </c>
      <c r="N304" t="s">
        <v>1004</v>
      </c>
      <c r="O304" t="s">
        <v>1010</v>
      </c>
      <c r="P304">
        <v>11365</v>
      </c>
      <c r="Q304">
        <v>6775</v>
      </c>
      <c r="R304" t="s">
        <v>1009</v>
      </c>
      <c r="S304" t="s">
        <v>1008</v>
      </c>
    </row>
    <row r="305" spans="1:19" x14ac:dyDescent="0.2">
      <c r="A305" t="s">
        <v>1007</v>
      </c>
      <c r="B305" t="s">
        <v>1006</v>
      </c>
      <c r="C305">
        <v>11</v>
      </c>
      <c r="D305" t="s">
        <v>388</v>
      </c>
      <c r="E305">
        <v>0</v>
      </c>
      <c r="F305" t="s">
        <v>1005</v>
      </c>
      <c r="G305" t="s">
        <v>118</v>
      </c>
      <c r="H305" t="s">
        <v>117</v>
      </c>
      <c r="I305">
        <v>0.76553986475528202</v>
      </c>
      <c r="J305">
        <v>0.91155089318048399</v>
      </c>
      <c r="K305">
        <v>19</v>
      </c>
      <c r="L305">
        <v>24</v>
      </c>
      <c r="M305">
        <v>502</v>
      </c>
      <c r="N305" t="s">
        <v>1004</v>
      </c>
      <c r="O305" t="s">
        <v>1003</v>
      </c>
      <c r="P305">
        <v>11368</v>
      </c>
      <c r="Q305">
        <v>6778</v>
      </c>
      <c r="R305" t="s">
        <v>1002</v>
      </c>
      <c r="S305" t="s">
        <v>1001</v>
      </c>
    </row>
    <row r="306" spans="1:19" x14ac:dyDescent="0.2">
      <c r="A306" t="s">
        <v>1000</v>
      </c>
      <c r="B306" t="s">
        <v>999</v>
      </c>
      <c r="C306">
        <v>11</v>
      </c>
      <c r="D306" t="s">
        <v>388</v>
      </c>
      <c r="E306">
        <v>0</v>
      </c>
      <c r="F306" t="s">
        <v>998</v>
      </c>
      <c r="G306" t="s">
        <v>118</v>
      </c>
      <c r="H306" t="s">
        <v>117</v>
      </c>
      <c r="I306">
        <v>0.75852338787459495</v>
      </c>
      <c r="J306">
        <v>0.897759766857539</v>
      </c>
      <c r="K306">
        <v>1</v>
      </c>
      <c r="L306">
        <v>2</v>
      </c>
      <c r="M306">
        <v>500</v>
      </c>
      <c r="N306" t="s">
        <v>997</v>
      </c>
      <c r="O306" t="s">
        <v>996</v>
      </c>
      <c r="P306">
        <v>7983</v>
      </c>
      <c r="Q306">
        <v>2516</v>
      </c>
      <c r="R306" t="s">
        <v>995</v>
      </c>
      <c r="S306" t="s">
        <v>994</v>
      </c>
    </row>
    <row r="307" spans="1:19" x14ac:dyDescent="0.2">
      <c r="A307" t="s">
        <v>993</v>
      </c>
      <c r="B307" t="s">
        <v>36</v>
      </c>
      <c r="C307">
        <v>11</v>
      </c>
      <c r="D307" t="s">
        <v>363</v>
      </c>
      <c r="E307">
        <v>0</v>
      </c>
      <c r="F307" t="s">
        <v>992</v>
      </c>
      <c r="G307" t="s">
        <v>118</v>
      </c>
      <c r="H307" t="s">
        <v>117</v>
      </c>
      <c r="I307">
        <v>0.92525931534599604</v>
      </c>
      <c r="J307">
        <v>0.97343324849397295</v>
      </c>
      <c r="K307">
        <v>25</v>
      </c>
      <c r="L307">
        <v>6</v>
      </c>
      <c r="M307">
        <v>500</v>
      </c>
      <c r="N307" t="s">
        <v>991</v>
      </c>
      <c r="O307" t="s">
        <v>990</v>
      </c>
      <c r="P307">
        <v>5724</v>
      </c>
      <c r="Q307">
        <v>3516</v>
      </c>
      <c r="R307" t="s">
        <v>989</v>
      </c>
      <c r="S307" t="s">
        <v>988</v>
      </c>
    </row>
    <row r="308" spans="1:19" x14ac:dyDescent="0.2">
      <c r="A308" t="s">
        <v>987</v>
      </c>
      <c r="B308" t="s">
        <v>986</v>
      </c>
      <c r="C308">
        <v>16</v>
      </c>
      <c r="D308" t="s">
        <v>363</v>
      </c>
      <c r="E308">
        <v>0</v>
      </c>
      <c r="F308" t="s">
        <v>985</v>
      </c>
      <c r="G308" t="s">
        <v>118</v>
      </c>
      <c r="H308" t="s">
        <v>117</v>
      </c>
      <c r="I308">
        <v>0.89395197735931098</v>
      </c>
      <c r="J308">
        <v>0.91044629724616499</v>
      </c>
      <c r="K308">
        <v>61</v>
      </c>
      <c r="L308">
        <v>2</v>
      </c>
      <c r="M308">
        <v>500</v>
      </c>
      <c r="N308" t="s">
        <v>845</v>
      </c>
      <c r="O308" t="s">
        <v>984</v>
      </c>
      <c r="P308">
        <v>11535</v>
      </c>
      <c r="Q308">
        <v>6872</v>
      </c>
      <c r="R308" t="s">
        <v>983</v>
      </c>
      <c r="S308" t="s">
        <v>982</v>
      </c>
    </row>
    <row r="309" spans="1:19" x14ac:dyDescent="0.2">
      <c r="A309" t="s">
        <v>981</v>
      </c>
      <c r="B309" t="s">
        <v>978</v>
      </c>
      <c r="C309">
        <v>19</v>
      </c>
      <c r="D309" t="s">
        <v>363</v>
      </c>
      <c r="E309">
        <v>0</v>
      </c>
      <c r="F309" t="s">
        <v>980</v>
      </c>
      <c r="G309" t="s">
        <v>118</v>
      </c>
      <c r="H309" t="s">
        <v>117</v>
      </c>
      <c r="I309">
        <v>0.97797821759427095</v>
      </c>
      <c r="J309">
        <v>0.96753257963936701</v>
      </c>
      <c r="K309">
        <v>68</v>
      </c>
      <c r="L309">
        <v>76</v>
      </c>
      <c r="M309">
        <v>500</v>
      </c>
      <c r="N309" t="s">
        <v>753</v>
      </c>
      <c r="O309" t="s">
        <v>976</v>
      </c>
      <c r="P309">
        <v>11556</v>
      </c>
      <c r="Q309">
        <v>6886</v>
      </c>
      <c r="R309" t="s">
        <v>975</v>
      </c>
      <c r="S309" t="s">
        <v>974</v>
      </c>
    </row>
    <row r="310" spans="1:19" x14ac:dyDescent="0.2">
      <c r="A310" t="s">
        <v>973</v>
      </c>
      <c r="B310" t="s">
        <v>972</v>
      </c>
      <c r="C310">
        <v>10</v>
      </c>
      <c r="D310" t="s">
        <v>363</v>
      </c>
      <c r="E310">
        <v>0</v>
      </c>
      <c r="F310" t="s">
        <v>971</v>
      </c>
      <c r="G310" t="s">
        <v>118</v>
      </c>
      <c r="H310" t="s">
        <v>117</v>
      </c>
      <c r="I310">
        <v>0.86772532224062104</v>
      </c>
      <c r="J310">
        <v>0.79757922174892304</v>
      </c>
      <c r="K310">
        <v>21</v>
      </c>
      <c r="L310">
        <v>45</v>
      </c>
      <c r="M310">
        <v>149</v>
      </c>
      <c r="N310" t="s">
        <v>970</v>
      </c>
      <c r="O310" t="s">
        <v>969</v>
      </c>
      <c r="P310">
        <v>11588</v>
      </c>
      <c r="Q310">
        <v>6908</v>
      </c>
      <c r="R310" t="s">
        <v>968</v>
      </c>
      <c r="S310" t="s">
        <v>967</v>
      </c>
    </row>
    <row r="311" spans="1:19" x14ac:dyDescent="0.2">
      <c r="A311" t="s">
        <v>934</v>
      </c>
      <c r="B311" t="s">
        <v>933</v>
      </c>
      <c r="C311">
        <v>13</v>
      </c>
      <c r="D311" t="s">
        <v>363</v>
      </c>
      <c r="E311">
        <v>0</v>
      </c>
      <c r="F311" t="s">
        <v>932</v>
      </c>
      <c r="G311" t="s">
        <v>118</v>
      </c>
      <c r="H311" t="s">
        <v>117</v>
      </c>
      <c r="I311">
        <v>0.82910421689771097</v>
      </c>
      <c r="J311">
        <v>0.831393636445381</v>
      </c>
      <c r="K311">
        <v>7</v>
      </c>
      <c r="L311">
        <v>17</v>
      </c>
      <c r="M311">
        <v>497</v>
      </c>
      <c r="N311" t="s">
        <v>931</v>
      </c>
      <c r="O311" t="s">
        <v>930</v>
      </c>
      <c r="P311">
        <v>11599</v>
      </c>
      <c r="Q311">
        <v>30009</v>
      </c>
      <c r="R311" t="s">
        <v>929</v>
      </c>
      <c r="S311" t="s">
        <v>928</v>
      </c>
    </row>
    <row r="312" spans="1:19" x14ac:dyDescent="0.2">
      <c r="A312" t="s">
        <v>921</v>
      </c>
      <c r="B312" t="s">
        <v>42</v>
      </c>
      <c r="C312">
        <v>11</v>
      </c>
      <c r="D312" t="s">
        <v>120</v>
      </c>
      <c r="E312">
        <v>0</v>
      </c>
      <c r="F312" t="s">
        <v>920</v>
      </c>
      <c r="G312" t="s">
        <v>118</v>
      </c>
      <c r="H312" t="s">
        <v>117</v>
      </c>
      <c r="I312">
        <v>0.96317783508778998</v>
      </c>
      <c r="J312">
        <v>0.58348725202197704</v>
      </c>
      <c r="K312">
        <v>2</v>
      </c>
      <c r="L312">
        <v>3</v>
      </c>
      <c r="M312">
        <v>420</v>
      </c>
      <c r="N312" t="s">
        <v>907</v>
      </c>
      <c r="O312" t="s">
        <v>919</v>
      </c>
      <c r="P312">
        <v>11602</v>
      </c>
      <c r="Q312">
        <v>6926</v>
      </c>
      <c r="R312" t="s">
        <v>918</v>
      </c>
      <c r="S312" t="s">
        <v>917</v>
      </c>
    </row>
    <row r="313" spans="1:19" x14ac:dyDescent="0.2">
      <c r="A313" t="s">
        <v>903</v>
      </c>
      <c r="B313" t="s">
        <v>902</v>
      </c>
      <c r="C313">
        <v>16</v>
      </c>
      <c r="D313" t="s">
        <v>363</v>
      </c>
      <c r="E313">
        <v>0</v>
      </c>
      <c r="F313" t="s">
        <v>901</v>
      </c>
      <c r="G313" t="s">
        <v>118</v>
      </c>
      <c r="H313" t="s">
        <v>117</v>
      </c>
      <c r="I313">
        <v>0.84695788220683499</v>
      </c>
      <c r="J313">
        <v>0.92872305826736101</v>
      </c>
      <c r="K313">
        <v>7</v>
      </c>
      <c r="L313">
        <v>19</v>
      </c>
      <c r="M313">
        <v>500</v>
      </c>
      <c r="N313" t="s">
        <v>845</v>
      </c>
      <c r="O313" t="s">
        <v>900</v>
      </c>
      <c r="P313">
        <v>11639</v>
      </c>
      <c r="Q313">
        <v>6932</v>
      </c>
      <c r="R313" t="s">
        <v>899</v>
      </c>
      <c r="S313" t="s">
        <v>898</v>
      </c>
    </row>
    <row r="314" spans="1:19" x14ac:dyDescent="0.2">
      <c r="A314" t="s">
        <v>897</v>
      </c>
      <c r="B314" t="s">
        <v>896</v>
      </c>
      <c r="C314">
        <v>12</v>
      </c>
      <c r="D314" t="s">
        <v>363</v>
      </c>
      <c r="E314">
        <v>0</v>
      </c>
      <c r="F314" t="s">
        <v>895</v>
      </c>
      <c r="G314" t="s">
        <v>118</v>
      </c>
      <c r="H314" t="s">
        <v>117</v>
      </c>
      <c r="I314">
        <v>0.96912902841939896</v>
      </c>
      <c r="J314">
        <v>0.930436552020667</v>
      </c>
      <c r="K314">
        <v>14</v>
      </c>
      <c r="L314">
        <v>5</v>
      </c>
      <c r="M314">
        <v>500</v>
      </c>
      <c r="N314" t="s">
        <v>876</v>
      </c>
      <c r="O314" t="s">
        <v>894</v>
      </c>
      <c r="P314">
        <v>11714</v>
      </c>
      <c r="Q314">
        <v>7003</v>
      </c>
      <c r="R314" t="s">
        <v>893</v>
      </c>
      <c r="S314" t="s">
        <v>892</v>
      </c>
    </row>
    <row r="315" spans="1:19" x14ac:dyDescent="0.2">
      <c r="A315" t="s">
        <v>879</v>
      </c>
      <c r="B315" t="s">
        <v>878</v>
      </c>
      <c r="C315">
        <v>13</v>
      </c>
      <c r="D315" t="s">
        <v>363</v>
      </c>
      <c r="E315">
        <v>0</v>
      </c>
      <c r="F315" t="s">
        <v>877</v>
      </c>
      <c r="G315" t="s">
        <v>118</v>
      </c>
      <c r="H315" t="s">
        <v>117</v>
      </c>
      <c r="I315">
        <v>0.97070350449999399</v>
      </c>
      <c r="J315">
        <v>0.93545636046994796</v>
      </c>
      <c r="K315">
        <v>57</v>
      </c>
      <c r="L315">
        <v>10</v>
      </c>
      <c r="M315">
        <v>500</v>
      </c>
      <c r="N315" t="s">
        <v>876</v>
      </c>
      <c r="O315" t="s">
        <v>875</v>
      </c>
      <c r="P315">
        <v>11717</v>
      </c>
      <c r="Q315">
        <v>7004</v>
      </c>
      <c r="R315" t="s">
        <v>874</v>
      </c>
      <c r="S315" t="s">
        <v>873</v>
      </c>
    </row>
    <row r="316" spans="1:19" x14ac:dyDescent="0.2">
      <c r="A316" t="s">
        <v>860</v>
      </c>
      <c r="B316" t="s">
        <v>62</v>
      </c>
      <c r="C316">
        <v>14</v>
      </c>
      <c r="D316" t="s">
        <v>363</v>
      </c>
      <c r="E316">
        <v>0</v>
      </c>
      <c r="F316" t="s">
        <v>859</v>
      </c>
      <c r="G316" t="s">
        <v>118</v>
      </c>
      <c r="H316" t="s">
        <v>117</v>
      </c>
      <c r="I316">
        <v>0.97660958714105195</v>
      </c>
      <c r="J316">
        <v>0.90636260905760302</v>
      </c>
      <c r="K316">
        <v>188</v>
      </c>
      <c r="L316">
        <v>99</v>
      </c>
      <c r="M316">
        <v>500</v>
      </c>
      <c r="N316" t="s">
        <v>858</v>
      </c>
      <c r="O316" t="s">
        <v>857</v>
      </c>
      <c r="P316">
        <v>9955</v>
      </c>
      <c r="Q316">
        <v>5970</v>
      </c>
      <c r="R316" t="s">
        <v>856</v>
      </c>
      <c r="S316" t="s">
        <v>855</v>
      </c>
    </row>
    <row r="317" spans="1:19" x14ac:dyDescent="0.2">
      <c r="A317" t="s">
        <v>854</v>
      </c>
      <c r="B317" t="s">
        <v>853</v>
      </c>
      <c r="C317">
        <v>13</v>
      </c>
      <c r="D317" t="s">
        <v>388</v>
      </c>
      <c r="E317">
        <v>0</v>
      </c>
      <c r="F317" t="s">
        <v>852</v>
      </c>
      <c r="G317" t="s">
        <v>118</v>
      </c>
      <c r="H317" t="s">
        <v>117</v>
      </c>
      <c r="I317">
        <v>0.92594501644571303</v>
      </c>
      <c r="J317">
        <v>0.74095750348905998</v>
      </c>
      <c r="K317">
        <v>10</v>
      </c>
      <c r="L317">
        <v>10</v>
      </c>
      <c r="M317">
        <v>500</v>
      </c>
      <c r="N317" t="s">
        <v>845</v>
      </c>
      <c r="O317" t="s">
        <v>851</v>
      </c>
      <c r="P317">
        <v>11640</v>
      </c>
      <c r="Q317">
        <v>83439</v>
      </c>
      <c r="R317" t="s">
        <v>850</v>
      </c>
      <c r="S317" t="s">
        <v>849</v>
      </c>
    </row>
    <row r="318" spans="1:19" x14ac:dyDescent="0.2">
      <c r="A318" t="s">
        <v>848</v>
      </c>
      <c r="B318" t="s">
        <v>847</v>
      </c>
      <c r="C318">
        <v>13</v>
      </c>
      <c r="D318" t="s">
        <v>363</v>
      </c>
      <c r="E318">
        <v>0</v>
      </c>
      <c r="F318" t="s">
        <v>846</v>
      </c>
      <c r="G318" t="s">
        <v>118</v>
      </c>
      <c r="H318" t="s">
        <v>117</v>
      </c>
      <c r="I318">
        <v>0.96156462213926597</v>
      </c>
      <c r="J318">
        <v>0.88783143240985196</v>
      </c>
      <c r="K318">
        <v>46</v>
      </c>
      <c r="L318">
        <v>10</v>
      </c>
      <c r="M318">
        <v>500</v>
      </c>
      <c r="N318" t="s">
        <v>845</v>
      </c>
      <c r="O318" t="s">
        <v>844</v>
      </c>
      <c r="P318">
        <v>11641</v>
      </c>
      <c r="Q318">
        <v>6934</v>
      </c>
      <c r="R318" t="s">
        <v>843</v>
      </c>
      <c r="S318" t="s">
        <v>842</v>
      </c>
    </row>
    <row r="319" spans="1:19" x14ac:dyDescent="0.2">
      <c r="A319" t="s">
        <v>841</v>
      </c>
      <c r="B319" t="s">
        <v>840</v>
      </c>
      <c r="C319">
        <v>10</v>
      </c>
      <c r="D319" t="s">
        <v>363</v>
      </c>
      <c r="E319">
        <v>0</v>
      </c>
      <c r="F319" t="s">
        <v>839</v>
      </c>
      <c r="G319" t="s">
        <v>118</v>
      </c>
      <c r="H319" t="s">
        <v>117</v>
      </c>
      <c r="I319">
        <v>0.92341857508509195</v>
      </c>
      <c r="K319">
        <v>7</v>
      </c>
      <c r="M319">
        <v>503</v>
      </c>
      <c r="N319" t="s">
        <v>718</v>
      </c>
      <c r="O319" t="s">
        <v>838</v>
      </c>
      <c r="P319">
        <v>11745</v>
      </c>
      <c r="Q319">
        <v>7023</v>
      </c>
      <c r="R319" t="s">
        <v>837</v>
      </c>
      <c r="S319" t="s">
        <v>836</v>
      </c>
    </row>
    <row r="320" spans="1:19" x14ac:dyDescent="0.2">
      <c r="A320" t="s">
        <v>829</v>
      </c>
      <c r="B320" t="s">
        <v>828</v>
      </c>
      <c r="C320">
        <v>14</v>
      </c>
      <c r="D320" t="s">
        <v>120</v>
      </c>
      <c r="E320">
        <v>0</v>
      </c>
      <c r="F320" t="s">
        <v>827</v>
      </c>
      <c r="G320" t="s">
        <v>118</v>
      </c>
      <c r="H320" t="s">
        <v>117</v>
      </c>
      <c r="I320">
        <v>0.87079533512193896</v>
      </c>
      <c r="K320">
        <v>3</v>
      </c>
      <c r="M320">
        <v>500</v>
      </c>
      <c r="N320" t="s">
        <v>826</v>
      </c>
      <c r="O320" t="s">
        <v>825</v>
      </c>
      <c r="P320">
        <v>11749</v>
      </c>
      <c r="Q320">
        <v>7027</v>
      </c>
      <c r="R320" t="s">
        <v>824</v>
      </c>
      <c r="S320" t="s">
        <v>823</v>
      </c>
    </row>
    <row r="321" spans="1:19" x14ac:dyDescent="0.2">
      <c r="A321" t="s">
        <v>822</v>
      </c>
      <c r="B321" t="s">
        <v>821</v>
      </c>
      <c r="C321">
        <v>11</v>
      </c>
      <c r="D321" t="s">
        <v>363</v>
      </c>
      <c r="E321">
        <v>0</v>
      </c>
      <c r="F321" t="s">
        <v>820</v>
      </c>
      <c r="G321" t="s">
        <v>118</v>
      </c>
      <c r="H321" t="s">
        <v>117</v>
      </c>
      <c r="I321">
        <v>0.92554766304495495</v>
      </c>
      <c r="J321">
        <v>0.97739634280406495</v>
      </c>
      <c r="K321">
        <v>9</v>
      </c>
      <c r="L321">
        <v>60</v>
      </c>
      <c r="M321">
        <v>503</v>
      </c>
      <c r="N321" t="s">
        <v>819</v>
      </c>
      <c r="O321" t="s">
        <v>818</v>
      </c>
      <c r="P321">
        <v>11633</v>
      </c>
      <c r="Q321">
        <v>6929</v>
      </c>
      <c r="R321" t="s">
        <v>817</v>
      </c>
      <c r="S321" t="s">
        <v>816</v>
      </c>
    </row>
    <row r="322" spans="1:19" x14ac:dyDescent="0.2">
      <c r="A322" t="s">
        <v>815</v>
      </c>
      <c r="B322" t="s">
        <v>814</v>
      </c>
      <c r="C322">
        <v>10</v>
      </c>
      <c r="D322" t="s">
        <v>388</v>
      </c>
      <c r="E322">
        <v>0</v>
      </c>
      <c r="F322" t="s">
        <v>813</v>
      </c>
      <c r="G322" t="s">
        <v>118</v>
      </c>
      <c r="H322" t="s">
        <v>117</v>
      </c>
      <c r="I322">
        <v>0.48334283250346199</v>
      </c>
      <c r="J322">
        <v>0.99986384991222899</v>
      </c>
      <c r="K322">
        <v>2</v>
      </c>
      <c r="L322">
        <v>30</v>
      </c>
      <c r="M322">
        <v>478</v>
      </c>
      <c r="N322" t="s">
        <v>718</v>
      </c>
      <c r="O322" t="s">
        <v>807</v>
      </c>
      <c r="P322">
        <v>11752</v>
      </c>
      <c r="Q322">
        <v>7030</v>
      </c>
      <c r="R322" t="s">
        <v>812</v>
      </c>
      <c r="S322" t="s">
        <v>811</v>
      </c>
    </row>
    <row r="323" spans="1:19" x14ac:dyDescent="0.2">
      <c r="A323" t="s">
        <v>810</v>
      </c>
      <c r="B323" t="s">
        <v>809</v>
      </c>
      <c r="C323">
        <v>9</v>
      </c>
      <c r="D323" t="s">
        <v>120</v>
      </c>
      <c r="E323">
        <v>0</v>
      </c>
      <c r="F323" t="s">
        <v>808</v>
      </c>
      <c r="G323" t="s">
        <v>229</v>
      </c>
      <c r="H323" t="s">
        <v>228</v>
      </c>
      <c r="M323">
        <v>301</v>
      </c>
      <c r="N323" t="s">
        <v>718</v>
      </c>
      <c r="O323" t="s">
        <v>807</v>
      </c>
      <c r="P323">
        <v>11753</v>
      </c>
      <c r="Q323">
        <v>7942</v>
      </c>
      <c r="R323" t="s">
        <v>806</v>
      </c>
      <c r="S323" t="s">
        <v>805</v>
      </c>
    </row>
    <row r="324" spans="1:19" x14ac:dyDescent="0.2">
      <c r="A324" t="s">
        <v>804</v>
      </c>
      <c r="B324" t="s">
        <v>803</v>
      </c>
      <c r="C324">
        <v>7</v>
      </c>
      <c r="D324" t="s">
        <v>363</v>
      </c>
      <c r="E324">
        <v>0</v>
      </c>
      <c r="F324" t="s">
        <v>802</v>
      </c>
      <c r="G324" t="s">
        <v>118</v>
      </c>
      <c r="H324" t="s">
        <v>117</v>
      </c>
      <c r="I324">
        <v>0.86110229537490901</v>
      </c>
      <c r="J324">
        <v>0.97567857697841998</v>
      </c>
      <c r="K324">
        <v>2</v>
      </c>
      <c r="L324">
        <v>5</v>
      </c>
      <c r="M324">
        <v>500</v>
      </c>
      <c r="N324" t="s">
        <v>796</v>
      </c>
      <c r="O324" t="s">
        <v>795</v>
      </c>
      <c r="P324">
        <v>11776</v>
      </c>
      <c r="Q324">
        <v>7050</v>
      </c>
      <c r="R324" t="s">
        <v>801</v>
      </c>
      <c r="S324" t="s">
        <v>800</v>
      </c>
    </row>
    <row r="325" spans="1:19" x14ac:dyDescent="0.2">
      <c r="A325" t="s">
        <v>792</v>
      </c>
      <c r="B325" t="s">
        <v>791</v>
      </c>
      <c r="C325">
        <v>22</v>
      </c>
      <c r="D325" t="s">
        <v>388</v>
      </c>
      <c r="E325">
        <v>0</v>
      </c>
      <c r="F325" t="s">
        <v>790</v>
      </c>
      <c r="G325" t="s">
        <v>118</v>
      </c>
      <c r="H325" t="s">
        <v>117</v>
      </c>
      <c r="I325">
        <v>0.94245067984743702</v>
      </c>
      <c r="J325">
        <v>0.76822481254403696</v>
      </c>
      <c r="K325">
        <v>2</v>
      </c>
      <c r="L325">
        <v>2</v>
      </c>
      <c r="M325">
        <v>126</v>
      </c>
      <c r="N325" t="s">
        <v>783</v>
      </c>
      <c r="O325" t="s">
        <v>789</v>
      </c>
      <c r="P325">
        <v>23194</v>
      </c>
      <c r="Q325">
        <v>57215</v>
      </c>
      <c r="R325" t="s">
        <v>788</v>
      </c>
      <c r="S325" t="s">
        <v>787</v>
      </c>
    </row>
    <row r="326" spans="1:19" x14ac:dyDescent="0.2">
      <c r="A326" t="s">
        <v>786</v>
      </c>
      <c r="B326" t="s">
        <v>785</v>
      </c>
      <c r="C326">
        <v>22</v>
      </c>
      <c r="D326" t="s">
        <v>120</v>
      </c>
      <c r="E326">
        <v>0</v>
      </c>
      <c r="F326" t="s">
        <v>784</v>
      </c>
      <c r="G326" t="s">
        <v>109</v>
      </c>
      <c r="H326" t="s">
        <v>117</v>
      </c>
      <c r="I326">
        <v>0.97749785147157797</v>
      </c>
      <c r="K326">
        <v>4</v>
      </c>
      <c r="M326">
        <v>498</v>
      </c>
      <c r="N326" t="s">
        <v>783</v>
      </c>
      <c r="O326" t="s">
        <v>782</v>
      </c>
      <c r="P326">
        <v>20856</v>
      </c>
      <c r="Q326">
        <v>55145</v>
      </c>
      <c r="R326" t="s">
        <v>781</v>
      </c>
      <c r="S326" t="s">
        <v>780</v>
      </c>
    </row>
    <row r="327" spans="1:19" x14ac:dyDescent="0.2">
      <c r="A327" t="s">
        <v>779</v>
      </c>
      <c r="B327" t="s">
        <v>776</v>
      </c>
      <c r="C327">
        <v>17</v>
      </c>
      <c r="D327" t="s">
        <v>120</v>
      </c>
      <c r="E327">
        <v>0</v>
      </c>
      <c r="F327" t="s">
        <v>778</v>
      </c>
      <c r="G327" t="s">
        <v>229</v>
      </c>
      <c r="H327" t="s">
        <v>228</v>
      </c>
      <c r="M327">
        <v>75</v>
      </c>
      <c r="N327" t="s">
        <v>698</v>
      </c>
      <c r="O327" t="s">
        <v>767</v>
      </c>
      <c r="P327">
        <v>11796</v>
      </c>
      <c r="Q327">
        <v>7067</v>
      </c>
      <c r="R327" t="s">
        <v>774</v>
      </c>
      <c r="S327" t="s">
        <v>773</v>
      </c>
    </row>
    <row r="328" spans="1:19" x14ac:dyDescent="0.2">
      <c r="A328" t="s">
        <v>772</v>
      </c>
      <c r="B328" t="s">
        <v>769</v>
      </c>
      <c r="C328">
        <v>17</v>
      </c>
      <c r="D328" t="s">
        <v>120</v>
      </c>
      <c r="E328">
        <v>0</v>
      </c>
      <c r="F328" t="s">
        <v>771</v>
      </c>
      <c r="G328" t="s">
        <v>229</v>
      </c>
      <c r="H328" t="s">
        <v>228</v>
      </c>
      <c r="M328">
        <v>38</v>
      </c>
      <c r="N328" t="s">
        <v>698</v>
      </c>
      <c r="O328" t="s">
        <v>767</v>
      </c>
      <c r="P328">
        <v>11799</v>
      </c>
      <c r="Q328">
        <v>7068</v>
      </c>
      <c r="R328" t="s">
        <v>766</v>
      </c>
      <c r="S328" t="s">
        <v>765</v>
      </c>
    </row>
    <row r="329" spans="1:19" x14ac:dyDescent="0.2">
      <c r="A329" t="s">
        <v>758</v>
      </c>
      <c r="B329" t="s">
        <v>755</v>
      </c>
      <c r="C329">
        <v>17</v>
      </c>
      <c r="D329" t="s">
        <v>363</v>
      </c>
      <c r="E329">
        <v>0</v>
      </c>
      <c r="F329" t="s">
        <v>757</v>
      </c>
      <c r="G329" t="s">
        <v>118</v>
      </c>
      <c r="H329" t="s">
        <v>117</v>
      </c>
      <c r="I329">
        <v>0.96903724969196703</v>
      </c>
      <c r="J329">
        <v>0.53935265246507802</v>
      </c>
      <c r="K329">
        <v>9</v>
      </c>
      <c r="L329">
        <v>8</v>
      </c>
      <c r="M329">
        <v>497</v>
      </c>
      <c r="N329" t="s">
        <v>753</v>
      </c>
      <c r="O329" t="s">
        <v>752</v>
      </c>
      <c r="P329">
        <v>12428</v>
      </c>
      <c r="Q329">
        <v>7291</v>
      </c>
      <c r="R329" t="s">
        <v>751</v>
      </c>
      <c r="S329" t="s">
        <v>750</v>
      </c>
    </row>
    <row r="330" spans="1:19" x14ac:dyDescent="0.2">
      <c r="A330" t="s">
        <v>749</v>
      </c>
      <c r="B330" t="s">
        <v>748</v>
      </c>
      <c r="C330">
        <v>12</v>
      </c>
      <c r="D330" t="s">
        <v>363</v>
      </c>
      <c r="E330">
        <v>0</v>
      </c>
      <c r="F330" t="s">
        <v>747</v>
      </c>
      <c r="G330" t="s">
        <v>118</v>
      </c>
      <c r="H330" t="s">
        <v>117</v>
      </c>
      <c r="I330">
        <v>0.98106895289646201</v>
      </c>
      <c r="J330">
        <v>0.98872684548799905</v>
      </c>
      <c r="K330">
        <v>69</v>
      </c>
      <c r="L330">
        <v>72</v>
      </c>
      <c r="M330">
        <v>453</v>
      </c>
      <c r="N330" t="s">
        <v>107</v>
      </c>
      <c r="O330" t="s">
        <v>548</v>
      </c>
      <c r="P330">
        <v>12856</v>
      </c>
      <c r="Q330">
        <v>7528</v>
      </c>
      <c r="R330" t="s">
        <v>746</v>
      </c>
      <c r="S330" t="s">
        <v>745</v>
      </c>
    </row>
    <row r="331" spans="1:19" x14ac:dyDescent="0.2">
      <c r="A331" t="s">
        <v>726</v>
      </c>
      <c r="B331" t="s">
        <v>725</v>
      </c>
      <c r="C331">
        <v>12</v>
      </c>
      <c r="D331" t="s">
        <v>363</v>
      </c>
      <c r="E331">
        <v>0</v>
      </c>
      <c r="F331" t="s">
        <v>724</v>
      </c>
      <c r="G331" t="s">
        <v>118</v>
      </c>
      <c r="H331" t="s">
        <v>117</v>
      </c>
      <c r="I331">
        <v>0.99818125084268805</v>
      </c>
      <c r="J331">
        <v>0.98043456509486304</v>
      </c>
      <c r="K331">
        <v>59</v>
      </c>
      <c r="L331">
        <v>7</v>
      </c>
      <c r="M331">
        <v>485</v>
      </c>
      <c r="N331" t="s">
        <v>718</v>
      </c>
      <c r="O331" t="s">
        <v>717</v>
      </c>
      <c r="P331">
        <v>12593</v>
      </c>
      <c r="Q331">
        <v>7391</v>
      </c>
      <c r="R331" t="s">
        <v>723</v>
      </c>
      <c r="S331" t="s">
        <v>722</v>
      </c>
    </row>
    <row r="332" spans="1:19" x14ac:dyDescent="0.2">
      <c r="A332" t="s">
        <v>721</v>
      </c>
      <c r="B332" t="s">
        <v>720</v>
      </c>
      <c r="C332">
        <v>19</v>
      </c>
      <c r="D332" t="s">
        <v>363</v>
      </c>
      <c r="E332">
        <v>0</v>
      </c>
      <c r="F332" t="s">
        <v>719</v>
      </c>
      <c r="G332" t="s">
        <v>109</v>
      </c>
      <c r="H332" t="s">
        <v>117</v>
      </c>
      <c r="I332">
        <v>0.99816403652670604</v>
      </c>
      <c r="J332">
        <v>0.99829017144752596</v>
      </c>
      <c r="K332">
        <v>23</v>
      </c>
      <c r="L332">
        <v>10</v>
      </c>
      <c r="M332">
        <v>501</v>
      </c>
      <c r="N332" t="s">
        <v>718</v>
      </c>
      <c r="O332" t="s">
        <v>717</v>
      </c>
      <c r="P332">
        <v>12594</v>
      </c>
      <c r="Q332">
        <v>7392</v>
      </c>
      <c r="R332" t="s">
        <v>716</v>
      </c>
      <c r="S332" t="s">
        <v>715</v>
      </c>
    </row>
    <row r="333" spans="1:19" x14ac:dyDescent="0.2">
      <c r="A333" t="s">
        <v>703</v>
      </c>
      <c r="B333" t="s">
        <v>700</v>
      </c>
      <c r="C333">
        <v>16</v>
      </c>
      <c r="D333" t="s">
        <v>363</v>
      </c>
      <c r="E333">
        <v>0</v>
      </c>
      <c r="F333" t="s">
        <v>702</v>
      </c>
      <c r="G333" t="s">
        <v>118</v>
      </c>
      <c r="H333" t="s">
        <v>117</v>
      </c>
      <c r="I333">
        <v>0.94250476415513695</v>
      </c>
      <c r="J333">
        <v>0.93209765402739997</v>
      </c>
      <c r="K333">
        <v>48</v>
      </c>
      <c r="L333">
        <v>30</v>
      </c>
      <c r="M333">
        <v>500</v>
      </c>
      <c r="N333" t="s">
        <v>698</v>
      </c>
      <c r="O333" t="s">
        <v>697</v>
      </c>
      <c r="P333">
        <v>12679</v>
      </c>
      <c r="Q333">
        <v>7421</v>
      </c>
      <c r="R333" t="s">
        <v>696</v>
      </c>
      <c r="S333" t="s">
        <v>695</v>
      </c>
    </row>
    <row r="334" spans="1:19" x14ac:dyDescent="0.2">
      <c r="A334" t="s">
        <v>687</v>
      </c>
      <c r="B334" t="s">
        <v>684</v>
      </c>
      <c r="C334">
        <v>22</v>
      </c>
      <c r="D334" t="s">
        <v>120</v>
      </c>
      <c r="E334">
        <v>0</v>
      </c>
      <c r="F334" t="s">
        <v>686</v>
      </c>
      <c r="G334" t="s">
        <v>118</v>
      </c>
      <c r="H334" t="s">
        <v>117</v>
      </c>
      <c r="I334">
        <v>0.90897771784020898</v>
      </c>
      <c r="K334">
        <v>5</v>
      </c>
      <c r="M334">
        <v>500</v>
      </c>
      <c r="N334" t="s">
        <v>137</v>
      </c>
      <c r="O334" t="s">
        <v>682</v>
      </c>
      <c r="P334">
        <v>12949</v>
      </c>
      <c r="Q334">
        <v>7716</v>
      </c>
      <c r="R334" t="s">
        <v>681</v>
      </c>
      <c r="S334" t="s">
        <v>680</v>
      </c>
    </row>
    <row r="335" spans="1:19" x14ac:dyDescent="0.2">
      <c r="A335" t="s">
        <v>667</v>
      </c>
      <c r="B335" t="s">
        <v>664</v>
      </c>
      <c r="C335">
        <v>20</v>
      </c>
      <c r="D335" t="s">
        <v>120</v>
      </c>
      <c r="E335">
        <v>0</v>
      </c>
      <c r="F335" t="s">
        <v>666</v>
      </c>
      <c r="G335" t="s">
        <v>118</v>
      </c>
      <c r="H335" t="s">
        <v>117</v>
      </c>
      <c r="J335">
        <v>0.98512526616957696</v>
      </c>
      <c r="L335">
        <v>5</v>
      </c>
      <c r="M335">
        <v>500</v>
      </c>
      <c r="N335" t="s">
        <v>107</v>
      </c>
      <c r="O335" t="s">
        <v>125</v>
      </c>
      <c r="P335">
        <v>12796</v>
      </c>
      <c r="Q335">
        <v>7490</v>
      </c>
      <c r="R335" t="s">
        <v>662</v>
      </c>
      <c r="S335" t="s">
        <v>661</v>
      </c>
    </row>
    <row r="336" spans="1:19" x14ac:dyDescent="0.2">
      <c r="A336" t="s">
        <v>653</v>
      </c>
      <c r="B336" t="s">
        <v>652</v>
      </c>
      <c r="C336">
        <v>23</v>
      </c>
      <c r="D336" t="s">
        <v>120</v>
      </c>
      <c r="E336">
        <v>0</v>
      </c>
      <c r="F336" t="s">
        <v>651</v>
      </c>
      <c r="G336" t="s">
        <v>118</v>
      </c>
      <c r="H336" t="s">
        <v>117</v>
      </c>
      <c r="I336">
        <v>0.985878881855901</v>
      </c>
      <c r="K336">
        <v>3</v>
      </c>
      <c r="M336">
        <v>500</v>
      </c>
      <c r="N336" t="s">
        <v>107</v>
      </c>
      <c r="O336" t="s">
        <v>650</v>
      </c>
      <c r="P336">
        <v>14096</v>
      </c>
      <c r="Q336">
        <v>25799</v>
      </c>
      <c r="R336" t="s">
        <v>649</v>
      </c>
      <c r="S336" t="s">
        <v>648</v>
      </c>
    </row>
    <row r="337" spans="1:19" x14ac:dyDescent="0.2">
      <c r="A337" t="s">
        <v>647</v>
      </c>
      <c r="B337" t="s">
        <v>646</v>
      </c>
      <c r="C337">
        <v>24</v>
      </c>
      <c r="D337" t="s">
        <v>120</v>
      </c>
      <c r="E337">
        <v>0</v>
      </c>
      <c r="F337" t="s">
        <v>645</v>
      </c>
      <c r="G337" t="s">
        <v>118</v>
      </c>
      <c r="H337" t="s">
        <v>117</v>
      </c>
      <c r="I337">
        <v>0.89442721871111897</v>
      </c>
      <c r="K337">
        <v>3</v>
      </c>
      <c r="M337">
        <v>496</v>
      </c>
      <c r="N337" t="s">
        <v>107</v>
      </c>
      <c r="O337" t="s">
        <v>644</v>
      </c>
      <c r="P337">
        <v>11628</v>
      </c>
      <c r="Q337">
        <v>6940</v>
      </c>
      <c r="R337" t="s">
        <v>643</v>
      </c>
      <c r="S337" t="s">
        <v>642</v>
      </c>
    </row>
    <row r="338" spans="1:19" x14ac:dyDescent="0.2">
      <c r="A338" t="s">
        <v>634</v>
      </c>
      <c r="B338" t="s">
        <v>633</v>
      </c>
      <c r="C338">
        <v>9</v>
      </c>
      <c r="D338" t="s">
        <v>120</v>
      </c>
      <c r="E338">
        <v>0</v>
      </c>
      <c r="F338" t="s">
        <v>632</v>
      </c>
      <c r="G338" t="s">
        <v>118</v>
      </c>
      <c r="H338" t="s">
        <v>117</v>
      </c>
      <c r="I338">
        <v>0.81224905091687605</v>
      </c>
      <c r="K338">
        <v>3</v>
      </c>
      <c r="M338">
        <v>481</v>
      </c>
      <c r="N338" t="s">
        <v>107</v>
      </c>
      <c r="O338" t="s">
        <v>125</v>
      </c>
      <c r="P338">
        <v>12860</v>
      </c>
      <c r="Q338">
        <v>7541</v>
      </c>
      <c r="R338" t="s">
        <v>631</v>
      </c>
      <c r="S338" t="s">
        <v>630</v>
      </c>
    </row>
    <row r="339" spans="1:19" x14ac:dyDescent="0.2">
      <c r="A339" t="s">
        <v>629</v>
      </c>
      <c r="B339" t="s">
        <v>628</v>
      </c>
      <c r="C339">
        <v>19</v>
      </c>
      <c r="D339" t="s">
        <v>363</v>
      </c>
      <c r="E339">
        <v>0</v>
      </c>
      <c r="F339" t="s">
        <v>627</v>
      </c>
      <c r="G339" t="s">
        <v>118</v>
      </c>
      <c r="H339" t="s">
        <v>117</v>
      </c>
      <c r="I339">
        <v>0.95941500043791506</v>
      </c>
      <c r="J339">
        <v>0.91127633470589997</v>
      </c>
      <c r="K339">
        <v>21</v>
      </c>
      <c r="L339">
        <v>25</v>
      </c>
      <c r="M339">
        <v>513</v>
      </c>
      <c r="N339" t="s">
        <v>137</v>
      </c>
      <c r="O339" t="s">
        <v>136</v>
      </c>
      <c r="P339">
        <v>12936</v>
      </c>
      <c r="Q339">
        <v>7709</v>
      </c>
      <c r="R339" t="s">
        <v>626</v>
      </c>
      <c r="S339" t="s">
        <v>625</v>
      </c>
    </row>
    <row r="340" spans="1:19" x14ac:dyDescent="0.2">
      <c r="A340" t="s">
        <v>624</v>
      </c>
      <c r="B340" t="s">
        <v>623</v>
      </c>
      <c r="C340">
        <v>11</v>
      </c>
      <c r="D340" t="s">
        <v>120</v>
      </c>
      <c r="E340">
        <v>0</v>
      </c>
      <c r="F340" t="s">
        <v>622</v>
      </c>
      <c r="G340" t="s">
        <v>118</v>
      </c>
      <c r="H340" t="s">
        <v>117</v>
      </c>
      <c r="I340">
        <v>0.886016263377288</v>
      </c>
      <c r="K340">
        <v>4</v>
      </c>
      <c r="M340">
        <v>500</v>
      </c>
      <c r="N340" t="s">
        <v>107</v>
      </c>
      <c r="O340" t="s">
        <v>621</v>
      </c>
      <c r="P340">
        <v>13030</v>
      </c>
      <c r="Q340">
        <v>10472</v>
      </c>
      <c r="R340" t="s">
        <v>620</v>
      </c>
      <c r="S340" t="s">
        <v>619</v>
      </c>
    </row>
    <row r="341" spans="1:19" x14ac:dyDescent="0.2">
      <c r="A341" t="s">
        <v>618</v>
      </c>
      <c r="B341" t="s">
        <v>617</v>
      </c>
      <c r="C341">
        <v>12</v>
      </c>
      <c r="D341" t="s">
        <v>120</v>
      </c>
      <c r="E341">
        <v>0</v>
      </c>
      <c r="F341" t="s">
        <v>616</v>
      </c>
      <c r="G341" t="s">
        <v>118</v>
      </c>
      <c r="H341" t="s">
        <v>117</v>
      </c>
      <c r="I341">
        <v>0.885365646389355</v>
      </c>
      <c r="K341">
        <v>2</v>
      </c>
      <c r="M341">
        <v>501</v>
      </c>
      <c r="N341" t="s">
        <v>107</v>
      </c>
      <c r="O341" t="s">
        <v>125</v>
      </c>
      <c r="P341">
        <v>4930</v>
      </c>
      <c r="Q341">
        <v>3104</v>
      </c>
      <c r="R341" t="s">
        <v>615</v>
      </c>
      <c r="S341" t="s">
        <v>614</v>
      </c>
    </row>
    <row r="342" spans="1:19" x14ac:dyDescent="0.2">
      <c r="A342" t="s">
        <v>608</v>
      </c>
      <c r="B342" t="s">
        <v>27</v>
      </c>
      <c r="C342">
        <v>9</v>
      </c>
      <c r="D342" t="s">
        <v>363</v>
      </c>
      <c r="E342">
        <v>0</v>
      </c>
      <c r="F342" t="s">
        <v>607</v>
      </c>
      <c r="G342" t="s">
        <v>118</v>
      </c>
      <c r="H342" t="s">
        <v>117</v>
      </c>
      <c r="I342">
        <v>0.92929220509522303</v>
      </c>
      <c r="K342">
        <v>12</v>
      </c>
      <c r="M342">
        <v>500</v>
      </c>
      <c r="N342" t="s">
        <v>107</v>
      </c>
      <c r="O342" t="s">
        <v>601</v>
      </c>
      <c r="P342">
        <v>18078</v>
      </c>
      <c r="Q342">
        <v>51341</v>
      </c>
      <c r="R342" t="s">
        <v>606</v>
      </c>
      <c r="S342" t="s">
        <v>605</v>
      </c>
    </row>
    <row r="343" spans="1:19" x14ac:dyDescent="0.2">
      <c r="A343" t="s">
        <v>591</v>
      </c>
      <c r="B343" t="s">
        <v>590</v>
      </c>
      <c r="C343">
        <v>13</v>
      </c>
      <c r="D343" t="s">
        <v>120</v>
      </c>
      <c r="E343">
        <v>0</v>
      </c>
      <c r="F343" t="s">
        <v>589</v>
      </c>
      <c r="G343" t="s">
        <v>118</v>
      </c>
      <c r="H343" t="s">
        <v>117</v>
      </c>
      <c r="I343">
        <v>0.88421037420742299</v>
      </c>
      <c r="K343">
        <v>2</v>
      </c>
      <c r="M343">
        <v>457</v>
      </c>
      <c r="N343" t="s">
        <v>107</v>
      </c>
      <c r="O343" t="s">
        <v>588</v>
      </c>
      <c r="P343">
        <v>16764</v>
      </c>
      <c r="Q343">
        <v>10773</v>
      </c>
      <c r="R343" t="s">
        <v>587</v>
      </c>
      <c r="S343" t="s">
        <v>586</v>
      </c>
    </row>
    <row r="344" spans="1:19" x14ac:dyDescent="0.2">
      <c r="A344" t="s">
        <v>585</v>
      </c>
      <c r="B344" t="s">
        <v>584</v>
      </c>
      <c r="C344">
        <v>10</v>
      </c>
      <c r="D344" t="s">
        <v>363</v>
      </c>
      <c r="E344">
        <v>0</v>
      </c>
      <c r="F344" t="s">
        <v>583</v>
      </c>
      <c r="G344" t="s">
        <v>118</v>
      </c>
      <c r="H344" t="s">
        <v>117</v>
      </c>
      <c r="I344">
        <v>0.93770258868078904</v>
      </c>
      <c r="K344">
        <v>12</v>
      </c>
      <c r="M344">
        <v>500</v>
      </c>
      <c r="N344" t="s">
        <v>560</v>
      </c>
      <c r="O344" t="s">
        <v>582</v>
      </c>
      <c r="P344">
        <v>11642</v>
      </c>
      <c r="Q344">
        <v>6935</v>
      </c>
      <c r="R344" t="s">
        <v>581</v>
      </c>
      <c r="S344" t="s">
        <v>580</v>
      </c>
    </row>
    <row r="345" spans="1:19" x14ac:dyDescent="0.2">
      <c r="A345" t="s">
        <v>556</v>
      </c>
      <c r="B345" t="s">
        <v>555</v>
      </c>
      <c r="C345">
        <v>20</v>
      </c>
      <c r="D345" t="s">
        <v>120</v>
      </c>
      <c r="E345">
        <v>0</v>
      </c>
      <c r="F345" t="s">
        <v>554</v>
      </c>
      <c r="G345" t="s">
        <v>118</v>
      </c>
      <c r="H345" t="s">
        <v>117</v>
      </c>
      <c r="I345">
        <v>0.992688083458242</v>
      </c>
      <c r="K345">
        <v>3</v>
      </c>
      <c r="M345">
        <v>417</v>
      </c>
      <c r="N345" t="s">
        <v>107</v>
      </c>
      <c r="O345" t="s">
        <v>125</v>
      </c>
      <c r="P345">
        <v>17801</v>
      </c>
      <c r="Q345">
        <v>140612</v>
      </c>
      <c r="R345" t="s">
        <v>553</v>
      </c>
      <c r="S345" t="s">
        <v>552</v>
      </c>
    </row>
    <row r="346" spans="1:19" x14ac:dyDescent="0.2">
      <c r="A346" t="s">
        <v>551</v>
      </c>
      <c r="B346" t="s">
        <v>550</v>
      </c>
      <c r="C346">
        <v>12</v>
      </c>
      <c r="D346" t="s">
        <v>363</v>
      </c>
      <c r="E346">
        <v>0</v>
      </c>
      <c r="F346" t="s">
        <v>549</v>
      </c>
      <c r="G346" t="s">
        <v>118</v>
      </c>
      <c r="H346" t="s">
        <v>117</v>
      </c>
      <c r="I346">
        <v>0.90947444812383904</v>
      </c>
      <c r="J346">
        <v>0.80021747134880195</v>
      </c>
      <c r="K346">
        <v>3</v>
      </c>
      <c r="L346">
        <v>2</v>
      </c>
      <c r="M346">
        <v>500</v>
      </c>
      <c r="N346" t="s">
        <v>107</v>
      </c>
      <c r="O346" t="s">
        <v>548</v>
      </c>
      <c r="P346">
        <v>30949</v>
      </c>
      <c r="Q346">
        <v>132625</v>
      </c>
      <c r="R346" t="s">
        <v>547</v>
      </c>
      <c r="S346" t="s">
        <v>546</v>
      </c>
    </row>
    <row r="347" spans="1:19" x14ac:dyDescent="0.2">
      <c r="A347" t="s">
        <v>545</v>
      </c>
      <c r="B347" t="s">
        <v>544</v>
      </c>
      <c r="C347">
        <v>24</v>
      </c>
      <c r="D347" t="s">
        <v>120</v>
      </c>
      <c r="E347">
        <v>0</v>
      </c>
      <c r="F347" t="s">
        <v>543</v>
      </c>
      <c r="G347" t="s">
        <v>118</v>
      </c>
      <c r="H347" t="s">
        <v>117</v>
      </c>
      <c r="I347">
        <v>0.930153782415021</v>
      </c>
      <c r="K347">
        <v>3</v>
      </c>
      <c r="M347">
        <v>500</v>
      </c>
      <c r="N347" t="s">
        <v>107</v>
      </c>
      <c r="O347" t="s">
        <v>542</v>
      </c>
      <c r="P347">
        <v>28682</v>
      </c>
      <c r="Q347">
        <v>284406</v>
      </c>
      <c r="R347" t="s">
        <v>541</v>
      </c>
      <c r="S347" t="s">
        <v>540</v>
      </c>
    </row>
    <row r="348" spans="1:19" x14ac:dyDescent="0.2">
      <c r="A348" t="s">
        <v>539</v>
      </c>
      <c r="B348" t="s">
        <v>536</v>
      </c>
      <c r="C348">
        <v>10</v>
      </c>
      <c r="D348" t="s">
        <v>363</v>
      </c>
      <c r="E348">
        <v>0</v>
      </c>
      <c r="F348" t="s">
        <v>538</v>
      </c>
      <c r="G348" t="s">
        <v>118</v>
      </c>
      <c r="H348" t="s">
        <v>117</v>
      </c>
      <c r="I348">
        <v>0.82651920305951698</v>
      </c>
      <c r="J348">
        <v>0.99094036339591696</v>
      </c>
      <c r="K348">
        <v>10</v>
      </c>
      <c r="L348">
        <v>4</v>
      </c>
      <c r="M348">
        <v>492</v>
      </c>
      <c r="N348" t="s">
        <v>107</v>
      </c>
      <c r="O348" t="s">
        <v>534</v>
      </c>
      <c r="P348">
        <v>12869</v>
      </c>
      <c r="Q348">
        <v>7543</v>
      </c>
      <c r="R348" t="s">
        <v>533</v>
      </c>
      <c r="S348" t="s">
        <v>532</v>
      </c>
    </row>
    <row r="349" spans="1:19" x14ac:dyDescent="0.2">
      <c r="A349" t="s">
        <v>531</v>
      </c>
      <c r="B349" t="s">
        <v>530</v>
      </c>
      <c r="C349">
        <v>9</v>
      </c>
      <c r="D349" t="s">
        <v>388</v>
      </c>
      <c r="E349">
        <v>0</v>
      </c>
      <c r="F349" t="s">
        <v>529</v>
      </c>
      <c r="G349" t="s">
        <v>229</v>
      </c>
      <c r="H349" t="s">
        <v>228</v>
      </c>
      <c r="M349">
        <v>34</v>
      </c>
      <c r="N349" t="s">
        <v>107</v>
      </c>
      <c r="O349" t="s">
        <v>514</v>
      </c>
      <c r="P349">
        <v>12872</v>
      </c>
      <c r="Q349">
        <v>7545</v>
      </c>
      <c r="R349" t="s">
        <v>528</v>
      </c>
      <c r="S349" t="s">
        <v>527</v>
      </c>
    </row>
    <row r="350" spans="1:19" x14ac:dyDescent="0.2">
      <c r="A350" t="s">
        <v>522</v>
      </c>
      <c r="B350" t="s">
        <v>521</v>
      </c>
      <c r="C350">
        <v>15</v>
      </c>
      <c r="D350" t="s">
        <v>388</v>
      </c>
      <c r="E350">
        <v>0</v>
      </c>
      <c r="F350" t="s">
        <v>520</v>
      </c>
      <c r="G350" t="s">
        <v>118</v>
      </c>
      <c r="H350" t="s">
        <v>117</v>
      </c>
      <c r="J350">
        <v>0.94345764141159105</v>
      </c>
      <c r="L350">
        <v>5</v>
      </c>
      <c r="M350">
        <v>170</v>
      </c>
      <c r="N350" t="s">
        <v>107</v>
      </c>
      <c r="O350" t="s">
        <v>514</v>
      </c>
      <c r="P350">
        <v>12874</v>
      </c>
      <c r="Q350">
        <v>7547</v>
      </c>
      <c r="R350" t="s">
        <v>519</v>
      </c>
      <c r="S350" t="s">
        <v>518</v>
      </c>
    </row>
    <row r="351" spans="1:19" x14ac:dyDescent="0.2">
      <c r="A351" t="s">
        <v>511</v>
      </c>
      <c r="B351" t="s">
        <v>510</v>
      </c>
      <c r="C351">
        <v>19</v>
      </c>
      <c r="D351" t="s">
        <v>120</v>
      </c>
      <c r="E351">
        <v>0</v>
      </c>
      <c r="F351" t="s">
        <v>509</v>
      </c>
      <c r="G351" t="s">
        <v>118</v>
      </c>
      <c r="H351" t="s">
        <v>117</v>
      </c>
      <c r="I351">
        <v>0.98915350532834201</v>
      </c>
      <c r="K351">
        <v>3</v>
      </c>
      <c r="M351">
        <v>471</v>
      </c>
      <c r="N351" t="s">
        <v>107</v>
      </c>
      <c r="O351" t="s">
        <v>125</v>
      </c>
      <c r="P351">
        <v>16366</v>
      </c>
      <c r="Q351">
        <v>114026</v>
      </c>
      <c r="R351" t="s">
        <v>508</v>
      </c>
      <c r="S351" t="s">
        <v>507</v>
      </c>
    </row>
    <row r="352" spans="1:19" x14ac:dyDescent="0.2">
      <c r="A352" t="s">
        <v>506</v>
      </c>
      <c r="B352" t="s">
        <v>505</v>
      </c>
      <c r="C352">
        <v>19</v>
      </c>
      <c r="D352" t="s">
        <v>388</v>
      </c>
      <c r="E352">
        <v>0</v>
      </c>
      <c r="F352" t="s">
        <v>504</v>
      </c>
      <c r="G352" t="s">
        <v>118</v>
      </c>
      <c r="H352" t="s">
        <v>117</v>
      </c>
      <c r="J352">
        <v>0.96053362110382801</v>
      </c>
      <c r="L352">
        <v>6</v>
      </c>
      <c r="M352">
        <v>500</v>
      </c>
      <c r="N352" t="s">
        <v>107</v>
      </c>
      <c r="O352" t="s">
        <v>116</v>
      </c>
      <c r="P352">
        <v>13101</v>
      </c>
      <c r="Q352">
        <v>7586</v>
      </c>
      <c r="R352" t="s">
        <v>503</v>
      </c>
      <c r="S352" t="s">
        <v>502</v>
      </c>
    </row>
    <row r="353" spans="1:19" x14ac:dyDescent="0.2">
      <c r="A353" t="s">
        <v>495</v>
      </c>
      <c r="B353" t="s">
        <v>494</v>
      </c>
      <c r="C353">
        <v>20</v>
      </c>
      <c r="D353" t="s">
        <v>120</v>
      </c>
      <c r="E353">
        <v>0</v>
      </c>
      <c r="F353" t="s">
        <v>493</v>
      </c>
      <c r="G353" t="s">
        <v>118</v>
      </c>
      <c r="H353" t="s">
        <v>117</v>
      </c>
      <c r="I353">
        <v>0.91990072230671105</v>
      </c>
      <c r="K353">
        <v>2</v>
      </c>
      <c r="M353">
        <v>486</v>
      </c>
      <c r="N353" t="s">
        <v>107</v>
      </c>
      <c r="O353" t="s">
        <v>125</v>
      </c>
      <c r="P353">
        <v>12904</v>
      </c>
      <c r="Q353">
        <v>7675</v>
      </c>
      <c r="R353" t="s">
        <v>492</v>
      </c>
      <c r="S353" t="s">
        <v>491</v>
      </c>
    </row>
    <row r="354" spans="1:19" x14ac:dyDescent="0.2">
      <c r="A354" t="s">
        <v>490</v>
      </c>
      <c r="B354" t="s">
        <v>487</v>
      </c>
      <c r="C354">
        <v>22</v>
      </c>
      <c r="D354" t="s">
        <v>120</v>
      </c>
      <c r="E354">
        <v>0</v>
      </c>
      <c r="F354" t="s">
        <v>489</v>
      </c>
      <c r="G354" t="s">
        <v>118</v>
      </c>
      <c r="H354" t="s">
        <v>117</v>
      </c>
      <c r="I354">
        <v>0.92338509539341296</v>
      </c>
      <c r="K354">
        <v>4</v>
      </c>
      <c r="M354">
        <v>500</v>
      </c>
      <c r="N354" t="s">
        <v>137</v>
      </c>
      <c r="O354" t="s">
        <v>485</v>
      </c>
      <c r="P354">
        <v>12918</v>
      </c>
      <c r="Q354">
        <v>7693</v>
      </c>
      <c r="R354" t="s">
        <v>484</v>
      </c>
      <c r="S354" t="s">
        <v>483</v>
      </c>
    </row>
    <row r="355" spans="1:19" x14ac:dyDescent="0.2">
      <c r="A355" t="s">
        <v>482</v>
      </c>
      <c r="B355" t="s">
        <v>481</v>
      </c>
      <c r="C355">
        <v>24</v>
      </c>
      <c r="D355" t="s">
        <v>120</v>
      </c>
      <c r="E355">
        <v>0</v>
      </c>
      <c r="F355" t="s">
        <v>480</v>
      </c>
      <c r="G355" t="s">
        <v>118</v>
      </c>
      <c r="H355" t="s">
        <v>117</v>
      </c>
      <c r="I355">
        <v>0.90721999168283796</v>
      </c>
      <c r="K355">
        <v>3</v>
      </c>
      <c r="M355">
        <v>365</v>
      </c>
      <c r="N355" t="s">
        <v>107</v>
      </c>
      <c r="O355" t="s">
        <v>246</v>
      </c>
      <c r="P355">
        <v>12920</v>
      </c>
      <c r="Q355">
        <v>7695</v>
      </c>
      <c r="R355" t="s">
        <v>479</v>
      </c>
      <c r="S355" t="s">
        <v>478</v>
      </c>
    </row>
    <row r="356" spans="1:19" x14ac:dyDescent="0.2">
      <c r="A356" t="s">
        <v>477</v>
      </c>
      <c r="B356" t="s">
        <v>476</v>
      </c>
      <c r="C356">
        <v>24</v>
      </c>
      <c r="D356" t="s">
        <v>120</v>
      </c>
      <c r="E356">
        <v>0</v>
      </c>
      <c r="F356" t="s">
        <v>475</v>
      </c>
      <c r="G356" t="s">
        <v>118</v>
      </c>
      <c r="H356" t="s">
        <v>117</v>
      </c>
      <c r="I356">
        <v>0.98362004516469603</v>
      </c>
      <c r="K356">
        <v>4</v>
      </c>
      <c r="M356">
        <v>450</v>
      </c>
      <c r="N356" t="s">
        <v>107</v>
      </c>
      <c r="O356" t="s">
        <v>474</v>
      </c>
      <c r="P356">
        <v>12925</v>
      </c>
      <c r="Q356">
        <v>7699</v>
      </c>
      <c r="R356" t="s">
        <v>473</v>
      </c>
      <c r="S356" t="s">
        <v>472</v>
      </c>
    </row>
    <row r="357" spans="1:19" x14ac:dyDescent="0.2">
      <c r="A357" t="s">
        <v>471</v>
      </c>
      <c r="B357" t="s">
        <v>70</v>
      </c>
      <c r="C357">
        <v>22</v>
      </c>
      <c r="D357" t="s">
        <v>363</v>
      </c>
      <c r="E357">
        <v>0</v>
      </c>
      <c r="F357" t="s">
        <v>470</v>
      </c>
      <c r="G357" t="s">
        <v>118</v>
      </c>
      <c r="H357" t="s">
        <v>117</v>
      </c>
      <c r="I357">
        <v>0.98606379107111797</v>
      </c>
      <c r="J357">
        <v>0.98306961320866604</v>
      </c>
      <c r="K357">
        <v>28</v>
      </c>
      <c r="L357">
        <v>9</v>
      </c>
      <c r="M357">
        <v>500</v>
      </c>
      <c r="N357" t="s">
        <v>107</v>
      </c>
      <c r="O357" t="s">
        <v>150</v>
      </c>
      <c r="P357">
        <v>12928</v>
      </c>
      <c r="Q357">
        <v>7702</v>
      </c>
      <c r="R357" t="s">
        <v>469</v>
      </c>
      <c r="S357" t="s">
        <v>468</v>
      </c>
    </row>
    <row r="358" spans="1:19" x14ac:dyDescent="0.2">
      <c r="A358" t="s">
        <v>462</v>
      </c>
      <c r="B358" t="s">
        <v>461</v>
      </c>
      <c r="C358">
        <v>22</v>
      </c>
      <c r="D358" t="s">
        <v>120</v>
      </c>
      <c r="E358">
        <v>0</v>
      </c>
      <c r="F358" t="s">
        <v>460</v>
      </c>
      <c r="G358" t="s">
        <v>118</v>
      </c>
      <c r="H358" t="s">
        <v>117</v>
      </c>
      <c r="I358">
        <v>0.92634068483423104</v>
      </c>
      <c r="K358">
        <v>2</v>
      </c>
      <c r="M358">
        <v>264</v>
      </c>
      <c r="N358" t="s">
        <v>107</v>
      </c>
      <c r="O358" t="s">
        <v>459</v>
      </c>
      <c r="P358">
        <v>13006</v>
      </c>
      <c r="Q358">
        <v>7761</v>
      </c>
      <c r="R358" t="s">
        <v>458</v>
      </c>
      <c r="S358" t="s">
        <v>457</v>
      </c>
    </row>
    <row r="359" spans="1:19" x14ac:dyDescent="0.2">
      <c r="A359" t="s">
        <v>445</v>
      </c>
      <c r="B359" t="s">
        <v>444</v>
      </c>
      <c r="C359">
        <v>20</v>
      </c>
      <c r="D359" t="s">
        <v>120</v>
      </c>
      <c r="E359">
        <v>0</v>
      </c>
      <c r="F359" t="s">
        <v>443</v>
      </c>
      <c r="G359" t="s">
        <v>118</v>
      </c>
      <c r="H359" t="s">
        <v>117</v>
      </c>
      <c r="I359">
        <v>0.90432425918014703</v>
      </c>
      <c r="K359">
        <v>4</v>
      </c>
      <c r="M359">
        <v>360</v>
      </c>
      <c r="N359" t="s">
        <v>107</v>
      </c>
      <c r="O359" t="s">
        <v>125</v>
      </c>
      <c r="P359">
        <v>13044</v>
      </c>
      <c r="Q359">
        <v>58500</v>
      </c>
      <c r="R359" t="s">
        <v>442</v>
      </c>
      <c r="S359" t="s">
        <v>441</v>
      </c>
    </row>
    <row r="360" spans="1:19" x14ac:dyDescent="0.2">
      <c r="A360" t="s">
        <v>440</v>
      </c>
      <c r="B360" t="s">
        <v>439</v>
      </c>
      <c r="C360">
        <v>12</v>
      </c>
      <c r="D360" t="s">
        <v>120</v>
      </c>
      <c r="E360">
        <v>0</v>
      </c>
      <c r="F360" t="s">
        <v>438</v>
      </c>
      <c r="G360" t="s">
        <v>118</v>
      </c>
      <c r="H360" t="s">
        <v>117</v>
      </c>
      <c r="I360">
        <v>0.86663665747132801</v>
      </c>
      <c r="K360">
        <v>4</v>
      </c>
      <c r="M360">
        <v>432</v>
      </c>
      <c r="N360" t="s">
        <v>107</v>
      </c>
      <c r="O360" t="s">
        <v>125</v>
      </c>
      <c r="P360">
        <v>13498</v>
      </c>
      <c r="Q360">
        <v>113835</v>
      </c>
      <c r="R360" t="s">
        <v>437</v>
      </c>
      <c r="S360" t="s">
        <v>436</v>
      </c>
    </row>
    <row r="361" spans="1:19" x14ac:dyDescent="0.2">
      <c r="A361" t="s">
        <v>435</v>
      </c>
      <c r="B361" t="s">
        <v>434</v>
      </c>
      <c r="C361">
        <v>24</v>
      </c>
      <c r="D361" t="s">
        <v>120</v>
      </c>
      <c r="E361">
        <v>0</v>
      </c>
      <c r="F361" t="s">
        <v>433</v>
      </c>
      <c r="G361" t="s">
        <v>118</v>
      </c>
      <c r="H361" t="s">
        <v>117</v>
      </c>
      <c r="I361">
        <v>0.92131296455391398</v>
      </c>
      <c r="K361">
        <v>4</v>
      </c>
      <c r="M361">
        <v>443</v>
      </c>
      <c r="N361" t="s">
        <v>107</v>
      </c>
      <c r="O361" t="s">
        <v>432</v>
      </c>
      <c r="P361">
        <v>13499</v>
      </c>
      <c r="Q361">
        <v>339324</v>
      </c>
      <c r="R361" t="s">
        <v>431</v>
      </c>
      <c r="S361" t="s">
        <v>430</v>
      </c>
    </row>
    <row r="362" spans="1:19" x14ac:dyDescent="0.2">
      <c r="A362" t="s">
        <v>429</v>
      </c>
      <c r="B362" t="s">
        <v>426</v>
      </c>
      <c r="C362">
        <v>20</v>
      </c>
      <c r="D362" t="s">
        <v>363</v>
      </c>
      <c r="E362">
        <v>0</v>
      </c>
      <c r="F362" t="s">
        <v>428</v>
      </c>
      <c r="G362" t="s">
        <v>118</v>
      </c>
      <c r="H362" t="s">
        <v>117</v>
      </c>
      <c r="I362">
        <v>0.96834165058923205</v>
      </c>
      <c r="K362">
        <v>9</v>
      </c>
      <c r="M362">
        <v>501</v>
      </c>
      <c r="N362" t="s">
        <v>107</v>
      </c>
      <c r="O362" t="s">
        <v>125</v>
      </c>
      <c r="P362">
        <v>13056</v>
      </c>
      <c r="Q362">
        <v>10127</v>
      </c>
      <c r="R362" t="s">
        <v>424</v>
      </c>
      <c r="S362" t="s">
        <v>423</v>
      </c>
    </row>
    <row r="363" spans="1:19" x14ac:dyDescent="0.2">
      <c r="A363" t="s">
        <v>422</v>
      </c>
      <c r="B363" t="s">
        <v>421</v>
      </c>
      <c r="C363">
        <v>24</v>
      </c>
      <c r="D363" t="s">
        <v>120</v>
      </c>
      <c r="E363">
        <v>0</v>
      </c>
      <c r="F363" t="s">
        <v>420</v>
      </c>
      <c r="G363" t="s">
        <v>118</v>
      </c>
      <c r="H363" t="s">
        <v>117</v>
      </c>
      <c r="I363">
        <v>0.81165605944112096</v>
      </c>
      <c r="K363">
        <v>2</v>
      </c>
      <c r="M363">
        <v>500</v>
      </c>
      <c r="N363" t="s">
        <v>107</v>
      </c>
      <c r="O363" t="s">
        <v>419</v>
      </c>
      <c r="P363">
        <v>13057</v>
      </c>
      <c r="Q363">
        <v>9422</v>
      </c>
      <c r="R363" t="s">
        <v>418</v>
      </c>
      <c r="S363" t="s">
        <v>417</v>
      </c>
    </row>
    <row r="364" spans="1:19" x14ac:dyDescent="0.2">
      <c r="A364" t="s">
        <v>416</v>
      </c>
      <c r="B364" t="s">
        <v>415</v>
      </c>
      <c r="C364">
        <v>20</v>
      </c>
      <c r="D364" t="s">
        <v>363</v>
      </c>
      <c r="E364">
        <v>0</v>
      </c>
      <c r="F364" t="s">
        <v>414</v>
      </c>
      <c r="G364" t="s">
        <v>118</v>
      </c>
      <c r="H364" t="s">
        <v>117</v>
      </c>
      <c r="I364">
        <v>0.97534416780076905</v>
      </c>
      <c r="K364">
        <v>26</v>
      </c>
      <c r="M364">
        <v>500</v>
      </c>
      <c r="N364" t="s">
        <v>107</v>
      </c>
      <c r="O364" t="s">
        <v>125</v>
      </c>
      <c r="P364">
        <v>13068</v>
      </c>
      <c r="Q364">
        <v>10782</v>
      </c>
      <c r="R364" t="s">
        <v>413</v>
      </c>
      <c r="S364" t="s">
        <v>412</v>
      </c>
    </row>
    <row r="365" spans="1:19" x14ac:dyDescent="0.2">
      <c r="A365" t="s">
        <v>411</v>
      </c>
      <c r="B365" t="s">
        <v>410</v>
      </c>
      <c r="C365">
        <v>15</v>
      </c>
      <c r="D365" t="s">
        <v>363</v>
      </c>
      <c r="E365">
        <v>0</v>
      </c>
      <c r="F365" t="s">
        <v>409</v>
      </c>
      <c r="G365" t="s">
        <v>118</v>
      </c>
      <c r="H365" t="s">
        <v>117</v>
      </c>
      <c r="I365">
        <v>0.96768897500143902</v>
      </c>
      <c r="J365">
        <v>0.97231666222201096</v>
      </c>
      <c r="K365">
        <v>7</v>
      </c>
      <c r="L365">
        <v>3</v>
      </c>
      <c r="M365">
        <v>482</v>
      </c>
      <c r="N365" t="s">
        <v>107</v>
      </c>
      <c r="O365" t="s">
        <v>408</v>
      </c>
      <c r="P365">
        <v>13075</v>
      </c>
      <c r="Q365">
        <v>23528</v>
      </c>
      <c r="R365" t="s">
        <v>407</v>
      </c>
      <c r="S365" t="s">
        <v>406</v>
      </c>
    </row>
    <row r="366" spans="1:19" x14ac:dyDescent="0.2">
      <c r="A366" t="s">
        <v>400</v>
      </c>
      <c r="B366" t="s">
        <v>399</v>
      </c>
      <c r="C366">
        <v>20</v>
      </c>
      <c r="D366" t="s">
        <v>120</v>
      </c>
      <c r="E366">
        <v>0</v>
      </c>
      <c r="F366" t="s">
        <v>398</v>
      </c>
      <c r="G366" t="s">
        <v>118</v>
      </c>
      <c r="H366" t="s">
        <v>117</v>
      </c>
      <c r="I366">
        <v>0.90486972218782402</v>
      </c>
      <c r="K366">
        <v>2</v>
      </c>
      <c r="M366">
        <v>455</v>
      </c>
      <c r="N366" t="s">
        <v>107</v>
      </c>
      <c r="O366" t="s">
        <v>125</v>
      </c>
      <c r="P366">
        <v>13507</v>
      </c>
      <c r="Q366">
        <v>57693</v>
      </c>
      <c r="R366" t="s">
        <v>397</v>
      </c>
      <c r="S366" t="s">
        <v>396</v>
      </c>
    </row>
    <row r="367" spans="1:19" x14ac:dyDescent="0.2">
      <c r="A367" t="s">
        <v>395</v>
      </c>
      <c r="B367" t="s">
        <v>394</v>
      </c>
      <c r="C367">
        <v>20</v>
      </c>
      <c r="D367" t="s">
        <v>120</v>
      </c>
      <c r="E367">
        <v>0</v>
      </c>
      <c r="F367" t="s">
        <v>393</v>
      </c>
      <c r="G367" t="s">
        <v>118</v>
      </c>
      <c r="H367" t="s">
        <v>117</v>
      </c>
      <c r="I367">
        <v>0.98128303424431096</v>
      </c>
      <c r="K367">
        <v>3</v>
      </c>
      <c r="M367">
        <v>461</v>
      </c>
      <c r="N367" t="s">
        <v>107</v>
      </c>
      <c r="O367" t="s">
        <v>125</v>
      </c>
      <c r="P367">
        <v>13842</v>
      </c>
      <c r="Q367">
        <v>162967</v>
      </c>
      <c r="R367" t="s">
        <v>392</v>
      </c>
      <c r="S367" t="s">
        <v>391</v>
      </c>
    </row>
    <row r="368" spans="1:19" x14ac:dyDescent="0.2">
      <c r="A368" t="s">
        <v>390</v>
      </c>
      <c r="B368" t="s">
        <v>389</v>
      </c>
      <c r="C368">
        <v>20</v>
      </c>
      <c r="D368" t="s">
        <v>388</v>
      </c>
      <c r="E368">
        <v>0</v>
      </c>
      <c r="F368" t="s">
        <v>387</v>
      </c>
      <c r="G368" t="s">
        <v>118</v>
      </c>
      <c r="H368" t="s">
        <v>117</v>
      </c>
      <c r="I368">
        <v>0.88416470808409597</v>
      </c>
      <c r="J368">
        <v>0.71306092782805797</v>
      </c>
      <c r="K368">
        <v>4</v>
      </c>
      <c r="L368">
        <v>2</v>
      </c>
      <c r="M368">
        <v>465</v>
      </c>
      <c r="N368" t="s">
        <v>107</v>
      </c>
      <c r="O368" t="s">
        <v>386</v>
      </c>
      <c r="P368">
        <v>23640</v>
      </c>
      <c r="Q368">
        <v>79692</v>
      </c>
      <c r="R368" t="s">
        <v>385</v>
      </c>
      <c r="S368" t="s">
        <v>384</v>
      </c>
    </row>
    <row r="369" spans="1:19" x14ac:dyDescent="0.2">
      <c r="A369" t="s">
        <v>383</v>
      </c>
      <c r="B369" t="s">
        <v>382</v>
      </c>
      <c r="C369">
        <v>20</v>
      </c>
      <c r="D369" t="s">
        <v>120</v>
      </c>
      <c r="E369">
        <v>0</v>
      </c>
      <c r="F369" t="s">
        <v>381</v>
      </c>
      <c r="G369" t="s">
        <v>118</v>
      </c>
      <c r="H369" t="s">
        <v>117</v>
      </c>
      <c r="I369">
        <v>0.82828092170956602</v>
      </c>
      <c r="K369">
        <v>4</v>
      </c>
      <c r="M369">
        <v>361</v>
      </c>
      <c r="N369" t="s">
        <v>107</v>
      </c>
      <c r="O369" t="s">
        <v>125</v>
      </c>
      <c r="P369">
        <v>14209</v>
      </c>
      <c r="Q369">
        <v>79673</v>
      </c>
      <c r="R369" t="s">
        <v>380</v>
      </c>
      <c r="S369" t="s">
        <v>379</v>
      </c>
    </row>
    <row r="370" spans="1:19" x14ac:dyDescent="0.2">
      <c r="A370" t="s">
        <v>378</v>
      </c>
      <c r="B370" t="s">
        <v>377</v>
      </c>
      <c r="C370">
        <v>20</v>
      </c>
      <c r="D370" t="s">
        <v>120</v>
      </c>
      <c r="E370">
        <v>0</v>
      </c>
      <c r="F370" t="s">
        <v>376</v>
      </c>
      <c r="G370" t="s">
        <v>118</v>
      </c>
      <c r="H370" t="s">
        <v>117</v>
      </c>
      <c r="I370">
        <v>0.98894420158575302</v>
      </c>
      <c r="K370">
        <v>3</v>
      </c>
      <c r="M370">
        <v>458</v>
      </c>
      <c r="N370" t="s">
        <v>107</v>
      </c>
      <c r="O370" t="s">
        <v>125</v>
      </c>
      <c r="P370">
        <v>15489</v>
      </c>
      <c r="Q370">
        <v>55422</v>
      </c>
      <c r="R370" t="s">
        <v>375</v>
      </c>
      <c r="S370" t="s">
        <v>374</v>
      </c>
    </row>
    <row r="371" spans="1:19" x14ac:dyDescent="0.2">
      <c r="A371" t="s">
        <v>367</v>
      </c>
      <c r="B371" t="s">
        <v>364</v>
      </c>
      <c r="C371">
        <v>22</v>
      </c>
      <c r="D371" t="s">
        <v>363</v>
      </c>
      <c r="E371">
        <v>0</v>
      </c>
      <c r="F371" t="s">
        <v>366</v>
      </c>
      <c r="G371" t="s">
        <v>118</v>
      </c>
      <c r="H371" t="s">
        <v>117</v>
      </c>
      <c r="I371">
        <v>0.959894253566551</v>
      </c>
      <c r="J371">
        <v>0.96828277706601196</v>
      </c>
      <c r="K371">
        <v>2</v>
      </c>
      <c r="L371">
        <v>4</v>
      </c>
      <c r="M371">
        <v>103</v>
      </c>
      <c r="N371" t="s">
        <v>137</v>
      </c>
      <c r="O371" t="s">
        <v>136</v>
      </c>
      <c r="P371">
        <v>15807</v>
      </c>
      <c r="Q371">
        <v>63925</v>
      </c>
      <c r="R371" t="s">
        <v>361</v>
      </c>
      <c r="S371" t="s">
        <v>360</v>
      </c>
    </row>
    <row r="372" spans="1:19" x14ac:dyDescent="0.2">
      <c r="A372" t="s">
        <v>359</v>
      </c>
      <c r="B372" t="s">
        <v>356</v>
      </c>
      <c r="C372">
        <v>22</v>
      </c>
      <c r="D372" t="s">
        <v>120</v>
      </c>
      <c r="E372">
        <v>0</v>
      </c>
      <c r="F372" t="s">
        <v>358</v>
      </c>
      <c r="G372" t="s">
        <v>118</v>
      </c>
      <c r="H372" t="s">
        <v>117</v>
      </c>
      <c r="I372">
        <v>0.84500799192519505</v>
      </c>
      <c r="K372">
        <v>2</v>
      </c>
      <c r="M372">
        <v>499</v>
      </c>
      <c r="N372" t="s">
        <v>137</v>
      </c>
      <c r="O372" t="s">
        <v>136</v>
      </c>
      <c r="P372">
        <v>15992</v>
      </c>
      <c r="Q372">
        <v>84905</v>
      </c>
      <c r="R372" t="s">
        <v>354</v>
      </c>
      <c r="S372" t="s">
        <v>353</v>
      </c>
    </row>
    <row r="373" spans="1:19" x14ac:dyDescent="0.2">
      <c r="A373" t="s">
        <v>352</v>
      </c>
      <c r="B373" t="s">
        <v>349</v>
      </c>
      <c r="C373">
        <v>18</v>
      </c>
      <c r="D373" t="s">
        <v>120</v>
      </c>
      <c r="E373">
        <v>0</v>
      </c>
      <c r="F373" t="s">
        <v>351</v>
      </c>
      <c r="G373" t="s">
        <v>118</v>
      </c>
      <c r="H373" t="s">
        <v>117</v>
      </c>
      <c r="I373">
        <v>0.97805038629397401</v>
      </c>
      <c r="K373">
        <v>3</v>
      </c>
      <c r="M373">
        <v>501</v>
      </c>
      <c r="N373" t="s">
        <v>107</v>
      </c>
      <c r="O373" t="s">
        <v>347</v>
      </c>
      <c r="P373">
        <v>16656</v>
      </c>
      <c r="Q373">
        <v>59348</v>
      </c>
      <c r="R373" t="s">
        <v>346</v>
      </c>
      <c r="S373" t="s">
        <v>345</v>
      </c>
    </row>
    <row r="374" spans="1:19" x14ac:dyDescent="0.2">
      <c r="A374" t="s">
        <v>344</v>
      </c>
      <c r="B374" t="s">
        <v>343</v>
      </c>
      <c r="C374">
        <v>22</v>
      </c>
      <c r="D374" t="s">
        <v>120</v>
      </c>
      <c r="E374">
        <v>0</v>
      </c>
      <c r="F374" t="s">
        <v>342</v>
      </c>
      <c r="G374" t="s">
        <v>118</v>
      </c>
      <c r="H374" t="s">
        <v>117</v>
      </c>
      <c r="I374">
        <v>0.93146378413886299</v>
      </c>
      <c r="K374">
        <v>2</v>
      </c>
      <c r="M374">
        <v>478</v>
      </c>
      <c r="N374" t="s">
        <v>137</v>
      </c>
      <c r="O374" t="s">
        <v>341</v>
      </c>
      <c r="P374">
        <v>17409</v>
      </c>
      <c r="Q374">
        <v>84911</v>
      </c>
      <c r="R374" t="s">
        <v>340</v>
      </c>
      <c r="S374" t="s">
        <v>339</v>
      </c>
    </row>
    <row r="375" spans="1:19" x14ac:dyDescent="0.2">
      <c r="A375" t="s">
        <v>338</v>
      </c>
      <c r="B375" t="s">
        <v>337</v>
      </c>
      <c r="C375">
        <v>12</v>
      </c>
      <c r="D375" t="s">
        <v>120</v>
      </c>
      <c r="E375">
        <v>0</v>
      </c>
      <c r="F375" t="s">
        <v>336</v>
      </c>
      <c r="G375" t="s">
        <v>229</v>
      </c>
      <c r="H375" t="s">
        <v>228</v>
      </c>
      <c r="M375">
        <v>39</v>
      </c>
      <c r="N375" t="s">
        <v>107</v>
      </c>
      <c r="O375" t="s">
        <v>335</v>
      </c>
      <c r="P375">
        <v>11955</v>
      </c>
      <c r="Q375">
        <v>171017</v>
      </c>
      <c r="R375" t="s">
        <v>334</v>
      </c>
      <c r="S375" t="s">
        <v>333</v>
      </c>
    </row>
    <row r="376" spans="1:19" x14ac:dyDescent="0.2">
      <c r="A376" t="s">
        <v>332</v>
      </c>
      <c r="B376" t="s">
        <v>329</v>
      </c>
      <c r="C376">
        <v>20</v>
      </c>
      <c r="D376" t="s">
        <v>120</v>
      </c>
      <c r="E376">
        <v>0</v>
      </c>
      <c r="F376" t="s">
        <v>331</v>
      </c>
      <c r="G376" t="s">
        <v>118</v>
      </c>
      <c r="H376" t="s">
        <v>117</v>
      </c>
      <c r="I376">
        <v>0.80210253008752697</v>
      </c>
      <c r="K376">
        <v>3</v>
      </c>
      <c r="M376">
        <v>375</v>
      </c>
      <c r="N376" t="s">
        <v>107</v>
      </c>
      <c r="O376" t="s">
        <v>125</v>
      </c>
      <c r="P376">
        <v>18832</v>
      </c>
      <c r="Q376">
        <v>84124</v>
      </c>
      <c r="R376" t="s">
        <v>327</v>
      </c>
      <c r="S376" t="s">
        <v>326</v>
      </c>
    </row>
    <row r="377" spans="1:19" x14ac:dyDescent="0.2">
      <c r="A377" t="s">
        <v>319</v>
      </c>
      <c r="B377" t="s">
        <v>316</v>
      </c>
      <c r="C377">
        <v>17</v>
      </c>
      <c r="D377" t="s">
        <v>120</v>
      </c>
      <c r="E377">
        <v>0</v>
      </c>
      <c r="F377" t="s">
        <v>318</v>
      </c>
      <c r="G377" t="s">
        <v>118</v>
      </c>
      <c r="H377" t="s">
        <v>117</v>
      </c>
      <c r="I377">
        <v>0.90593545666872699</v>
      </c>
      <c r="K377">
        <v>4</v>
      </c>
      <c r="M377">
        <v>500</v>
      </c>
      <c r="N377" t="s">
        <v>137</v>
      </c>
      <c r="O377" t="s">
        <v>314</v>
      </c>
      <c r="P377">
        <v>20647</v>
      </c>
      <c r="Q377">
        <v>147686</v>
      </c>
      <c r="R377" t="s">
        <v>313</v>
      </c>
      <c r="S377" t="s">
        <v>312</v>
      </c>
    </row>
    <row r="378" spans="1:19" x14ac:dyDescent="0.2">
      <c r="A378" t="s">
        <v>305</v>
      </c>
      <c r="B378" t="s">
        <v>304</v>
      </c>
      <c r="C378">
        <v>24</v>
      </c>
      <c r="D378" t="s">
        <v>120</v>
      </c>
      <c r="E378">
        <v>0</v>
      </c>
      <c r="F378" t="s">
        <v>303</v>
      </c>
      <c r="G378" t="s">
        <v>118</v>
      </c>
      <c r="H378" t="s">
        <v>117</v>
      </c>
      <c r="I378">
        <v>0.98437155289103795</v>
      </c>
      <c r="K378">
        <v>4</v>
      </c>
      <c r="M378">
        <v>485</v>
      </c>
      <c r="N378" t="s">
        <v>107</v>
      </c>
      <c r="O378" t="s">
        <v>302</v>
      </c>
      <c r="P378">
        <v>20814</v>
      </c>
      <c r="Q378">
        <v>80818</v>
      </c>
      <c r="R378" t="s">
        <v>301</v>
      </c>
      <c r="S378" t="s">
        <v>300</v>
      </c>
    </row>
    <row r="379" spans="1:19" x14ac:dyDescent="0.2">
      <c r="A379" t="s">
        <v>299</v>
      </c>
      <c r="B379" t="s">
        <v>298</v>
      </c>
      <c r="C379">
        <v>11</v>
      </c>
      <c r="D379" t="s">
        <v>120</v>
      </c>
      <c r="E379">
        <v>0</v>
      </c>
      <c r="F379" t="s">
        <v>297</v>
      </c>
      <c r="G379" t="s">
        <v>118</v>
      </c>
      <c r="H379" t="s">
        <v>117</v>
      </c>
      <c r="I379">
        <v>0.937993169935469</v>
      </c>
      <c r="K379">
        <v>2</v>
      </c>
      <c r="M379">
        <v>500</v>
      </c>
      <c r="N379" t="s">
        <v>107</v>
      </c>
      <c r="O379" t="s">
        <v>125</v>
      </c>
      <c r="P379">
        <v>21039</v>
      </c>
      <c r="Q379">
        <v>203523</v>
      </c>
      <c r="R379" t="s">
        <v>296</v>
      </c>
      <c r="S379" t="s">
        <v>295</v>
      </c>
    </row>
    <row r="380" spans="1:19" x14ac:dyDescent="0.2">
      <c r="A380" t="s">
        <v>294</v>
      </c>
      <c r="B380" t="s">
        <v>293</v>
      </c>
      <c r="C380">
        <v>22</v>
      </c>
      <c r="D380" t="s">
        <v>120</v>
      </c>
      <c r="E380">
        <v>0</v>
      </c>
      <c r="F380" t="s">
        <v>292</v>
      </c>
      <c r="G380" t="s">
        <v>118</v>
      </c>
      <c r="H380" t="s">
        <v>117</v>
      </c>
      <c r="I380">
        <v>0.97108510437651696</v>
      </c>
      <c r="K380">
        <v>3</v>
      </c>
      <c r="M380">
        <v>499</v>
      </c>
      <c r="N380" t="s">
        <v>137</v>
      </c>
      <c r="O380" t="s">
        <v>136</v>
      </c>
      <c r="P380">
        <v>23154</v>
      </c>
      <c r="Q380">
        <v>168544</v>
      </c>
      <c r="R380" t="s">
        <v>291</v>
      </c>
      <c r="S380" t="s">
        <v>290</v>
      </c>
    </row>
    <row r="381" spans="1:19" x14ac:dyDescent="0.2">
      <c r="A381" t="s">
        <v>289</v>
      </c>
      <c r="B381" t="s">
        <v>288</v>
      </c>
      <c r="C381">
        <v>24</v>
      </c>
      <c r="D381" t="s">
        <v>120</v>
      </c>
      <c r="E381">
        <v>0</v>
      </c>
      <c r="F381" t="s">
        <v>287</v>
      </c>
      <c r="G381" t="s">
        <v>118</v>
      </c>
      <c r="H381" t="s">
        <v>117</v>
      </c>
      <c r="I381">
        <v>0.98881944413977996</v>
      </c>
      <c r="K381">
        <v>4</v>
      </c>
      <c r="M381">
        <v>430</v>
      </c>
      <c r="N381" t="s">
        <v>107</v>
      </c>
      <c r="O381" t="s">
        <v>246</v>
      </c>
      <c r="P381">
        <v>23705</v>
      </c>
      <c r="Q381">
        <v>57474</v>
      </c>
      <c r="R381" t="s">
        <v>286</v>
      </c>
      <c r="S381" t="s">
        <v>285</v>
      </c>
    </row>
    <row r="382" spans="1:19" x14ac:dyDescent="0.2">
      <c r="A382" t="s">
        <v>284</v>
      </c>
      <c r="B382" t="s">
        <v>283</v>
      </c>
      <c r="C382">
        <v>20</v>
      </c>
      <c r="D382" t="s">
        <v>120</v>
      </c>
      <c r="E382">
        <v>0</v>
      </c>
      <c r="F382" t="s">
        <v>282</v>
      </c>
      <c r="G382" t="s">
        <v>118</v>
      </c>
      <c r="H382" t="s">
        <v>117</v>
      </c>
      <c r="I382">
        <v>0.87621198134309797</v>
      </c>
      <c r="K382">
        <v>3</v>
      </c>
      <c r="M382">
        <v>156</v>
      </c>
      <c r="N382" t="s">
        <v>107</v>
      </c>
      <c r="O382" t="s">
        <v>125</v>
      </c>
      <c r="P382">
        <v>23718</v>
      </c>
      <c r="Q382">
        <v>91392</v>
      </c>
      <c r="R382" t="s">
        <v>281</v>
      </c>
      <c r="S382" t="s">
        <v>280</v>
      </c>
    </row>
    <row r="383" spans="1:19" x14ac:dyDescent="0.2">
      <c r="A383" t="s">
        <v>273</v>
      </c>
      <c r="B383" t="s">
        <v>272</v>
      </c>
      <c r="C383">
        <v>20</v>
      </c>
      <c r="D383" t="s">
        <v>120</v>
      </c>
      <c r="E383">
        <v>0</v>
      </c>
      <c r="F383" t="s">
        <v>271</v>
      </c>
      <c r="G383" t="s">
        <v>118</v>
      </c>
      <c r="H383" t="s">
        <v>117</v>
      </c>
      <c r="I383">
        <v>0.82049857045955799</v>
      </c>
      <c r="K383">
        <v>2</v>
      </c>
      <c r="M383">
        <v>371</v>
      </c>
      <c r="N383" t="s">
        <v>107</v>
      </c>
      <c r="O383" t="s">
        <v>125</v>
      </c>
      <c r="P383">
        <v>29384</v>
      </c>
      <c r="Q383">
        <v>84436</v>
      </c>
      <c r="R383" t="s">
        <v>270</v>
      </c>
      <c r="S383" t="s">
        <v>269</v>
      </c>
    </row>
    <row r="384" spans="1:19" x14ac:dyDescent="0.2">
      <c r="A384" t="s">
        <v>268</v>
      </c>
      <c r="B384" t="s">
        <v>267</v>
      </c>
      <c r="C384">
        <v>20</v>
      </c>
      <c r="D384" t="s">
        <v>120</v>
      </c>
      <c r="E384">
        <v>0</v>
      </c>
      <c r="F384" t="s">
        <v>266</v>
      </c>
      <c r="G384" t="s">
        <v>118</v>
      </c>
      <c r="H384" t="s">
        <v>117</v>
      </c>
      <c r="I384">
        <v>0.90140768882990396</v>
      </c>
      <c r="K384">
        <v>4</v>
      </c>
      <c r="M384">
        <v>405</v>
      </c>
      <c r="N384" t="s">
        <v>107</v>
      </c>
      <c r="O384" t="s">
        <v>125</v>
      </c>
      <c r="P384">
        <v>26432</v>
      </c>
      <c r="Q384">
        <v>284306</v>
      </c>
      <c r="R384" t="s">
        <v>265</v>
      </c>
      <c r="S384" t="s">
        <v>264</v>
      </c>
    </row>
    <row r="385" spans="1:19" x14ac:dyDescent="0.2">
      <c r="A385" t="s">
        <v>263</v>
      </c>
      <c r="B385" t="s">
        <v>262</v>
      </c>
      <c r="C385">
        <v>20</v>
      </c>
      <c r="D385" t="s">
        <v>120</v>
      </c>
      <c r="E385">
        <v>0</v>
      </c>
      <c r="F385" t="s">
        <v>261</v>
      </c>
      <c r="G385" t="s">
        <v>118</v>
      </c>
      <c r="H385" t="s">
        <v>117</v>
      </c>
      <c r="I385">
        <v>0.94835783206739999</v>
      </c>
      <c r="K385">
        <v>3</v>
      </c>
      <c r="M385">
        <v>500</v>
      </c>
      <c r="N385" t="s">
        <v>107</v>
      </c>
      <c r="O385" t="s">
        <v>125</v>
      </c>
      <c r="P385">
        <v>26632</v>
      </c>
      <c r="Q385">
        <v>256051</v>
      </c>
      <c r="R385" t="s">
        <v>260</v>
      </c>
      <c r="S385" t="s">
        <v>259</v>
      </c>
    </row>
    <row r="386" spans="1:19" x14ac:dyDescent="0.2">
      <c r="A386" t="s">
        <v>258</v>
      </c>
      <c r="B386" t="s">
        <v>255</v>
      </c>
      <c r="C386">
        <v>20</v>
      </c>
      <c r="D386" t="s">
        <v>120</v>
      </c>
      <c r="E386">
        <v>0</v>
      </c>
      <c r="F386" t="s">
        <v>257</v>
      </c>
      <c r="G386" t="s">
        <v>118</v>
      </c>
      <c r="H386" t="s">
        <v>117</v>
      </c>
      <c r="I386">
        <v>0.85304807202144095</v>
      </c>
      <c r="K386">
        <v>2</v>
      </c>
      <c r="M386">
        <v>501</v>
      </c>
      <c r="N386" t="s">
        <v>107</v>
      </c>
      <c r="O386" t="s">
        <v>125</v>
      </c>
      <c r="P386">
        <v>26629</v>
      </c>
      <c r="Q386">
        <v>115196</v>
      </c>
      <c r="R386" t="s">
        <v>253</v>
      </c>
      <c r="S386" t="s">
        <v>252</v>
      </c>
    </row>
    <row r="387" spans="1:19" x14ac:dyDescent="0.2">
      <c r="A387" t="s">
        <v>251</v>
      </c>
      <c r="B387" t="s">
        <v>248</v>
      </c>
      <c r="C387">
        <v>21</v>
      </c>
      <c r="D387" t="s">
        <v>120</v>
      </c>
      <c r="E387">
        <v>0</v>
      </c>
      <c r="F387" t="s">
        <v>250</v>
      </c>
      <c r="G387" t="s">
        <v>118</v>
      </c>
      <c r="H387" t="s">
        <v>117</v>
      </c>
      <c r="I387">
        <v>0.88588764060174896</v>
      </c>
      <c r="K387">
        <v>4</v>
      </c>
      <c r="M387">
        <v>499</v>
      </c>
      <c r="N387" t="s">
        <v>107</v>
      </c>
      <c r="O387" t="s">
        <v>246</v>
      </c>
      <c r="P387">
        <v>30498</v>
      </c>
      <c r="Q387">
        <v>147837</v>
      </c>
      <c r="R387" t="s">
        <v>245</v>
      </c>
      <c r="S387" t="s">
        <v>244</v>
      </c>
    </row>
    <row r="388" spans="1:19" x14ac:dyDescent="0.2">
      <c r="A388" t="s">
        <v>243</v>
      </c>
      <c r="B388" t="s">
        <v>242</v>
      </c>
      <c r="C388">
        <v>24</v>
      </c>
      <c r="D388" t="s">
        <v>120</v>
      </c>
      <c r="E388">
        <v>0</v>
      </c>
      <c r="F388" t="s">
        <v>241</v>
      </c>
      <c r="G388" t="s">
        <v>118</v>
      </c>
      <c r="H388" t="s">
        <v>117</v>
      </c>
      <c r="I388">
        <v>0.852065263680998</v>
      </c>
      <c r="K388">
        <v>3</v>
      </c>
      <c r="M388">
        <v>261</v>
      </c>
      <c r="N388" t="s">
        <v>107</v>
      </c>
      <c r="O388" t="s">
        <v>240</v>
      </c>
      <c r="P388">
        <v>26421</v>
      </c>
      <c r="Q388">
        <v>147948</v>
      </c>
      <c r="R388" t="s">
        <v>239</v>
      </c>
      <c r="S388" t="s">
        <v>238</v>
      </c>
    </row>
    <row r="389" spans="1:19" x14ac:dyDescent="0.2">
      <c r="A389" t="s">
        <v>237</v>
      </c>
      <c r="B389" t="s">
        <v>236</v>
      </c>
      <c r="C389">
        <v>20</v>
      </c>
      <c r="D389" t="s">
        <v>120</v>
      </c>
      <c r="E389">
        <v>0</v>
      </c>
      <c r="F389" t="s">
        <v>235</v>
      </c>
      <c r="G389" t="s">
        <v>118</v>
      </c>
      <c r="H389" t="s">
        <v>117</v>
      </c>
      <c r="I389">
        <v>0.99965829908508597</v>
      </c>
      <c r="K389">
        <v>4</v>
      </c>
      <c r="M389">
        <v>472</v>
      </c>
      <c r="N389" t="s">
        <v>107</v>
      </c>
      <c r="O389" t="s">
        <v>125</v>
      </c>
      <c r="P389">
        <v>25949</v>
      </c>
      <c r="Q389">
        <v>54807</v>
      </c>
      <c r="R389" t="s">
        <v>234</v>
      </c>
      <c r="S389" t="s">
        <v>233</v>
      </c>
    </row>
    <row r="390" spans="1:19" x14ac:dyDescent="0.2">
      <c r="A390" t="s">
        <v>219</v>
      </c>
      <c r="B390" t="s">
        <v>218</v>
      </c>
      <c r="C390">
        <v>19</v>
      </c>
      <c r="D390" t="s">
        <v>120</v>
      </c>
      <c r="E390">
        <v>0</v>
      </c>
      <c r="F390" t="s">
        <v>217</v>
      </c>
      <c r="G390" t="s">
        <v>118</v>
      </c>
      <c r="H390" t="s">
        <v>117</v>
      </c>
      <c r="I390">
        <v>0.80859623563115701</v>
      </c>
      <c r="K390">
        <v>3</v>
      </c>
      <c r="M390">
        <v>500</v>
      </c>
      <c r="N390" t="s">
        <v>107</v>
      </c>
      <c r="O390" t="s">
        <v>125</v>
      </c>
      <c r="P390">
        <v>28854</v>
      </c>
      <c r="Q390">
        <v>63934</v>
      </c>
      <c r="R390" t="s">
        <v>216</v>
      </c>
      <c r="S390" t="s">
        <v>215</v>
      </c>
    </row>
    <row r="391" spans="1:19" x14ac:dyDescent="0.2">
      <c r="A391" t="s">
        <v>214</v>
      </c>
      <c r="B391" t="s">
        <v>213</v>
      </c>
      <c r="C391">
        <v>20</v>
      </c>
      <c r="D391" t="s">
        <v>120</v>
      </c>
      <c r="E391">
        <v>0</v>
      </c>
      <c r="F391" t="s">
        <v>212</v>
      </c>
      <c r="G391" t="s">
        <v>118</v>
      </c>
      <c r="H391" t="s">
        <v>117</v>
      </c>
      <c r="I391">
        <v>0.99853819555002998</v>
      </c>
      <c r="K391">
        <v>3</v>
      </c>
      <c r="M391">
        <v>309</v>
      </c>
      <c r="N391" t="s">
        <v>107</v>
      </c>
      <c r="O391" t="s">
        <v>125</v>
      </c>
      <c r="P391">
        <v>26897</v>
      </c>
      <c r="Q391">
        <v>340252</v>
      </c>
      <c r="R391" t="s">
        <v>211</v>
      </c>
      <c r="S391" t="s">
        <v>210</v>
      </c>
    </row>
    <row r="392" spans="1:19" x14ac:dyDescent="0.2">
      <c r="A392" t="s">
        <v>209</v>
      </c>
      <c r="B392" t="s">
        <v>206</v>
      </c>
      <c r="C392">
        <v>20</v>
      </c>
      <c r="D392" t="s">
        <v>120</v>
      </c>
      <c r="E392">
        <v>0</v>
      </c>
      <c r="F392" t="s">
        <v>208</v>
      </c>
      <c r="G392" t="s">
        <v>118</v>
      </c>
      <c r="H392" t="s">
        <v>117</v>
      </c>
      <c r="I392">
        <v>0.83819595103338596</v>
      </c>
      <c r="K392">
        <v>3</v>
      </c>
      <c r="M392">
        <v>359</v>
      </c>
      <c r="N392" t="s">
        <v>107</v>
      </c>
      <c r="O392" t="s">
        <v>125</v>
      </c>
      <c r="P392">
        <v>12945</v>
      </c>
      <c r="Q392">
        <v>7562</v>
      </c>
      <c r="R392" t="s">
        <v>204</v>
      </c>
      <c r="S392" t="s">
        <v>203</v>
      </c>
    </row>
    <row r="393" spans="1:19" x14ac:dyDescent="0.2">
      <c r="A393" t="s">
        <v>190</v>
      </c>
      <c r="B393" t="s">
        <v>30</v>
      </c>
      <c r="C393">
        <v>20</v>
      </c>
      <c r="D393" t="s">
        <v>120</v>
      </c>
      <c r="E393">
        <v>0</v>
      </c>
      <c r="F393" t="s">
        <v>189</v>
      </c>
      <c r="G393" t="s">
        <v>118</v>
      </c>
      <c r="H393" t="s">
        <v>117</v>
      </c>
      <c r="I393">
        <v>0.88081447673791202</v>
      </c>
      <c r="K393">
        <v>4</v>
      </c>
      <c r="M393">
        <v>424</v>
      </c>
      <c r="N393" t="s">
        <v>107</v>
      </c>
      <c r="O393" t="s">
        <v>125</v>
      </c>
      <c r="P393">
        <v>26273</v>
      </c>
      <c r="Q393">
        <v>79724</v>
      </c>
      <c r="R393" t="s">
        <v>188</v>
      </c>
      <c r="S393" t="s">
        <v>187</v>
      </c>
    </row>
    <row r="394" spans="1:19" x14ac:dyDescent="0.2">
      <c r="A394" t="s">
        <v>186</v>
      </c>
      <c r="B394" t="s">
        <v>183</v>
      </c>
      <c r="C394">
        <v>22</v>
      </c>
      <c r="D394" t="s">
        <v>120</v>
      </c>
      <c r="E394">
        <v>0</v>
      </c>
      <c r="F394" t="s">
        <v>185</v>
      </c>
      <c r="G394" t="s">
        <v>118</v>
      </c>
      <c r="H394" t="s">
        <v>117</v>
      </c>
      <c r="I394">
        <v>0.96872806951119395</v>
      </c>
      <c r="K394">
        <v>3</v>
      </c>
      <c r="M394">
        <v>491</v>
      </c>
      <c r="N394" t="s">
        <v>137</v>
      </c>
      <c r="O394" t="s">
        <v>136</v>
      </c>
      <c r="P394">
        <v>26061</v>
      </c>
      <c r="Q394">
        <v>54989</v>
      </c>
      <c r="R394" t="s">
        <v>181</v>
      </c>
      <c r="S394" t="s">
        <v>180</v>
      </c>
    </row>
    <row r="395" spans="1:19" x14ac:dyDescent="0.2">
      <c r="A395" t="s">
        <v>174</v>
      </c>
      <c r="B395" t="s">
        <v>171</v>
      </c>
      <c r="C395">
        <v>21</v>
      </c>
      <c r="D395" t="s">
        <v>120</v>
      </c>
      <c r="E395">
        <v>0</v>
      </c>
      <c r="F395" t="s">
        <v>173</v>
      </c>
      <c r="G395" t="s">
        <v>118</v>
      </c>
      <c r="H395" t="s">
        <v>117</v>
      </c>
      <c r="I395">
        <v>0.94983803325744798</v>
      </c>
      <c r="K395">
        <v>4</v>
      </c>
      <c r="M395">
        <v>430</v>
      </c>
      <c r="N395" t="s">
        <v>107</v>
      </c>
      <c r="O395" t="s">
        <v>169</v>
      </c>
      <c r="P395">
        <v>26995</v>
      </c>
      <c r="Q395">
        <v>125893</v>
      </c>
      <c r="R395" t="s">
        <v>168</v>
      </c>
      <c r="S395" t="s">
        <v>167</v>
      </c>
    </row>
    <row r="396" spans="1:19" x14ac:dyDescent="0.2">
      <c r="A396" t="s">
        <v>166</v>
      </c>
      <c r="B396" t="s">
        <v>165</v>
      </c>
      <c r="C396">
        <v>12</v>
      </c>
      <c r="D396" t="s">
        <v>120</v>
      </c>
      <c r="E396">
        <v>0</v>
      </c>
      <c r="F396" t="s">
        <v>164</v>
      </c>
      <c r="G396" t="s">
        <v>118</v>
      </c>
      <c r="H396" t="s">
        <v>117</v>
      </c>
      <c r="I396">
        <v>0.95193949250302101</v>
      </c>
      <c r="K396">
        <v>4</v>
      </c>
      <c r="M396">
        <v>500</v>
      </c>
      <c r="N396" t="s">
        <v>107</v>
      </c>
      <c r="O396" t="s">
        <v>125</v>
      </c>
      <c r="P396">
        <v>12969</v>
      </c>
      <c r="Q396">
        <v>7566</v>
      </c>
      <c r="R396" t="s">
        <v>163</v>
      </c>
      <c r="S396" t="s">
        <v>162</v>
      </c>
    </row>
    <row r="397" spans="1:19" x14ac:dyDescent="0.2">
      <c r="A397" t="s">
        <v>161</v>
      </c>
      <c r="B397" t="s">
        <v>158</v>
      </c>
      <c r="C397">
        <v>24</v>
      </c>
      <c r="D397" t="s">
        <v>120</v>
      </c>
      <c r="E397">
        <v>0</v>
      </c>
      <c r="F397" t="s">
        <v>160</v>
      </c>
      <c r="G397" t="s">
        <v>118</v>
      </c>
      <c r="H397" t="s">
        <v>117</v>
      </c>
      <c r="I397">
        <v>0.89415837911805995</v>
      </c>
      <c r="K397">
        <v>4</v>
      </c>
      <c r="M397">
        <v>349</v>
      </c>
      <c r="N397" t="s">
        <v>107</v>
      </c>
      <c r="O397" t="s">
        <v>156</v>
      </c>
      <c r="P397">
        <v>13107</v>
      </c>
      <c r="Q397">
        <v>7592</v>
      </c>
      <c r="R397" t="s">
        <v>155</v>
      </c>
      <c r="S397" t="s">
        <v>154</v>
      </c>
    </row>
    <row r="398" spans="1:19" x14ac:dyDescent="0.2">
      <c r="A398" t="s">
        <v>153</v>
      </c>
      <c r="B398" t="s">
        <v>152</v>
      </c>
      <c r="C398">
        <v>22</v>
      </c>
      <c r="D398" t="s">
        <v>120</v>
      </c>
      <c r="E398">
        <v>0</v>
      </c>
      <c r="F398" t="s">
        <v>151</v>
      </c>
      <c r="G398" t="s">
        <v>118</v>
      </c>
      <c r="H398" t="s">
        <v>117</v>
      </c>
      <c r="I398">
        <v>0.98504619168989505</v>
      </c>
      <c r="K398">
        <v>4</v>
      </c>
      <c r="M398">
        <v>498</v>
      </c>
      <c r="N398" t="s">
        <v>107</v>
      </c>
      <c r="O398" t="s">
        <v>150</v>
      </c>
      <c r="P398">
        <v>13149</v>
      </c>
      <c r="Q398">
        <v>7629</v>
      </c>
      <c r="R398" t="s">
        <v>149</v>
      </c>
      <c r="S398" t="s">
        <v>148</v>
      </c>
    </row>
    <row r="399" spans="1:19" x14ac:dyDescent="0.2">
      <c r="A399" t="s">
        <v>147</v>
      </c>
      <c r="B399" t="s">
        <v>144</v>
      </c>
      <c r="C399">
        <v>20</v>
      </c>
      <c r="D399" t="s">
        <v>120</v>
      </c>
      <c r="E399">
        <v>0</v>
      </c>
      <c r="F399" t="s">
        <v>146</v>
      </c>
      <c r="G399" t="s">
        <v>118</v>
      </c>
      <c r="H399" t="s">
        <v>117</v>
      </c>
      <c r="I399">
        <v>0.89934187841305002</v>
      </c>
      <c r="K399">
        <v>4</v>
      </c>
      <c r="M399">
        <v>500</v>
      </c>
      <c r="N399" t="s">
        <v>107</v>
      </c>
      <c r="O399" t="s">
        <v>125</v>
      </c>
      <c r="P399">
        <v>13160</v>
      </c>
      <c r="Q399">
        <v>7639</v>
      </c>
      <c r="R399" t="s">
        <v>142</v>
      </c>
      <c r="S399" t="s">
        <v>141</v>
      </c>
    </row>
    <row r="400" spans="1:19" x14ac:dyDescent="0.2">
      <c r="A400" t="s">
        <v>140</v>
      </c>
      <c r="B400" t="s">
        <v>139</v>
      </c>
      <c r="C400">
        <v>22</v>
      </c>
      <c r="D400" t="s">
        <v>120</v>
      </c>
      <c r="E400">
        <v>0</v>
      </c>
      <c r="F400" t="s">
        <v>138</v>
      </c>
      <c r="G400" t="s">
        <v>118</v>
      </c>
      <c r="H400" t="s">
        <v>117</v>
      </c>
      <c r="I400">
        <v>0.98226982397439699</v>
      </c>
      <c r="K400">
        <v>3</v>
      </c>
      <c r="M400">
        <v>417</v>
      </c>
      <c r="N400" t="s">
        <v>137</v>
      </c>
      <c r="O400" t="s">
        <v>136</v>
      </c>
      <c r="P400">
        <v>13154</v>
      </c>
      <c r="Q400">
        <v>7554</v>
      </c>
      <c r="R400" t="s">
        <v>135</v>
      </c>
      <c r="S400" t="s">
        <v>134</v>
      </c>
    </row>
    <row r="401" spans="1:19" x14ac:dyDescent="0.2">
      <c r="A401" t="s">
        <v>128</v>
      </c>
      <c r="B401" t="s">
        <v>127</v>
      </c>
      <c r="C401">
        <v>16</v>
      </c>
      <c r="D401" t="s">
        <v>120</v>
      </c>
      <c r="E401">
        <v>0</v>
      </c>
      <c r="F401" t="s">
        <v>126</v>
      </c>
      <c r="G401" t="s">
        <v>118</v>
      </c>
      <c r="H401" t="s">
        <v>117</v>
      </c>
      <c r="I401">
        <v>0.93186980390454499</v>
      </c>
      <c r="K401">
        <v>2</v>
      </c>
      <c r="M401">
        <v>476</v>
      </c>
      <c r="N401" t="s">
        <v>107</v>
      </c>
      <c r="O401" t="s">
        <v>125</v>
      </c>
      <c r="P401">
        <v>4929</v>
      </c>
      <c r="Q401">
        <v>342945</v>
      </c>
      <c r="R401" t="s">
        <v>124</v>
      </c>
      <c r="S401" t="s">
        <v>123</v>
      </c>
    </row>
    <row r="402" spans="1:19" x14ac:dyDescent="0.2">
      <c r="A402" t="s">
        <v>122</v>
      </c>
      <c r="B402" t="s">
        <v>121</v>
      </c>
      <c r="C402">
        <v>18</v>
      </c>
      <c r="D402" t="s">
        <v>120</v>
      </c>
      <c r="E402">
        <v>0</v>
      </c>
      <c r="F402" t="s">
        <v>119</v>
      </c>
      <c r="G402" t="s">
        <v>118</v>
      </c>
      <c r="H402" t="s">
        <v>117</v>
      </c>
      <c r="I402">
        <v>0.80241781326601003</v>
      </c>
      <c r="K402">
        <v>4</v>
      </c>
      <c r="M402">
        <v>407</v>
      </c>
      <c r="N402" t="s">
        <v>107</v>
      </c>
      <c r="O402" t="s">
        <v>116</v>
      </c>
      <c r="P402">
        <v>14097</v>
      </c>
      <c r="Q402">
        <v>64288</v>
      </c>
      <c r="R402" t="s">
        <v>115</v>
      </c>
      <c r="S402" t="s">
        <v>114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TF1000cells_motifs</vt:lpstr>
      <vt:lpstr>TF1000cells_unknown_motifs</vt:lpstr>
      <vt:lpstr>TF1000cells_known_motifs</vt:lpstr>
      <vt:lpstr>TF1000cells_known_motifs (Full)</vt:lpstr>
      <vt:lpstr>known_motifs</vt:lpstr>
      <vt:lpstr>HOCOMOCOv11_full_annotation_HUM</vt:lpstr>
      <vt:lpstr>HOCOMOCOv11_core_annotation_HUM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Yuyang Deng</cp:lastModifiedBy>
  <dcterms:created xsi:type="dcterms:W3CDTF">2026-09-04T16:34:28Z</dcterms:created>
  <dcterms:modified xsi:type="dcterms:W3CDTF">2026-09-11T17:55:52Z</dcterms:modified>
</cp:coreProperties>
</file>